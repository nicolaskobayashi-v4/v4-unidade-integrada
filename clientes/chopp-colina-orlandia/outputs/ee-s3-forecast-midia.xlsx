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ão" sheetId="1" state="visible" r:id="rId1"/>
    <sheet xmlns:r="http://schemas.openxmlformats.org/officeDocument/2006/relationships" name="Premissas e 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yyyy"/>
    <numFmt numFmtId="166" formatCode="#,##0;(#,##0)"/>
    <numFmt numFmtId="167" formatCode="&quot;R$&quot; #,##0;(R$ #,##0)"/>
    <numFmt numFmtId="168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rial"/>
      <color rgb="FFFFFFFF"/>
    </font>
    <font>
      <name val="Arial"/>
      <sz val="9"/>
    </font>
    <font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bottom"/>
    </xf>
    <xf numFmtId="165" fontId="2" fillId="2" borderId="0" applyAlignment="1" pivotButton="0" quotePrefix="0" xfId="0">
      <alignment horizontal="right" vertical="bottom"/>
    </xf>
    <xf numFmtId="0" fontId="3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0" fillId="2" borderId="0" pivotButton="0" quotePrefix="0" xfId="0"/>
    <xf numFmtId="9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0"/>
  <sheetViews>
    <sheetView workbookViewId="0">
      <selection activeCell="A1" sqref="A1"/>
    </sheetView>
  </sheetViews>
  <sheetFormatPr baseColWidth="8" defaultRowHeight="15"/>
  <cols>
    <col width="4.75" customWidth="1" min="1" max="1"/>
    <col width="36" customWidth="1" min="2" max="2"/>
    <col width="10.13" customWidth="1" min="3" max="3"/>
    <col width="3" customWidth="1" min="4" max="4"/>
    <col width="14" customWidth="1" min="5" max="5"/>
    <col width="14" customWidth="1" min="6" max="6"/>
    <col width="14" customWidth="1" min="7" max="7"/>
  </cols>
  <sheetData>
    <row r="1">
      <c r="B1" s="1" t="inlineStr">
        <is>
          <t>Mês</t>
        </is>
      </c>
      <c r="E1" s="2" t="n">
        <v>46204</v>
      </c>
      <c r="F1" s="2" t="n">
        <v>46235</v>
      </c>
      <c r="G1" s="2" t="n">
        <v>46266</v>
      </c>
    </row>
    <row r="2">
      <c r="B2" s="3" t="inlineStr">
        <is>
          <t>Dias do mês</t>
        </is>
      </c>
      <c r="E2" s="4" t="n">
        <v>31</v>
      </c>
      <c r="F2" s="4" t="n">
        <v>31</v>
      </c>
      <c r="G2" s="4" t="n">
        <v>30</v>
      </c>
    </row>
    <row r="3">
      <c r="B3" s="3" t="inlineStr">
        <is>
          <t>Dias úteis</t>
        </is>
      </c>
      <c r="E3" s="4" t="n">
        <v>22</v>
      </c>
      <c r="F3" s="4" t="n">
        <v>21</v>
      </c>
      <c r="G3" s="4" t="n">
        <v>22</v>
      </c>
    </row>
    <row r="5">
      <c r="B5" s="5" t="inlineStr">
        <is>
          <t>Premissas Marketing</t>
        </is>
      </c>
      <c r="E5" s="6" t="n"/>
      <c r="F5" s="6" t="n"/>
      <c r="G5" s="6" t="n"/>
    </row>
    <row r="7">
      <c r="B7" s="3" t="inlineStr">
        <is>
          <t>Controle investimento (cresc. orçamento)</t>
        </is>
      </c>
      <c r="C7" s="3">
        <f>IFERROR(FORMULATEXT(G7),"")</f>
        <v/>
      </c>
      <c r="E7" s="7" t="n">
        <v>0</v>
      </c>
      <c r="F7" s="7" t="n">
        <v>0.182</v>
      </c>
      <c r="G7" s="7" t="n">
        <v>0.231</v>
      </c>
    </row>
    <row r="8">
      <c r="B8" s="3" t="inlineStr">
        <is>
          <t>Investimento (Google + Meta Ads)</t>
        </is>
      </c>
      <c r="C8" s="3">
        <f>IFERROR(FORMULATEXT(G8),"")</f>
        <v/>
      </c>
      <c r="E8" s="8" t="n">
        <v>1100</v>
      </c>
      <c r="F8" s="8">
        <f>E8*(1+F7)</f>
        <v/>
      </c>
      <c r="G8" s="8">
        <f>F8*(1+G7)</f>
        <v/>
      </c>
    </row>
    <row r="9">
      <c r="B9" s="3" t="inlineStr">
        <is>
          <t>Variação do CPL</t>
        </is>
      </c>
      <c r="C9" s="3">
        <f>IFERROR(FORMULATEXT(G9),"")</f>
        <v/>
      </c>
      <c r="E9" s="7" t="n">
        <v>0</v>
      </c>
      <c r="F9" s="7" t="n">
        <v>-0.005</v>
      </c>
      <c r="G9" s="7" t="n">
        <v>0.017</v>
      </c>
    </row>
    <row r="10">
      <c r="B10" s="3" t="inlineStr">
        <is>
          <t>Custo por Lead (CPL blendado)</t>
        </is>
      </c>
      <c r="C10" s="3">
        <f>IFERROR(FORMULATEXT(G10),"")</f>
        <v/>
      </c>
      <c r="E10" s="8" t="n">
        <v>13.75</v>
      </c>
      <c r="F10" s="8">
        <f>E10*(1+F9)</f>
        <v/>
      </c>
      <c r="G10" s="8">
        <f>F10*(1+G9)</f>
        <v/>
      </c>
    </row>
    <row r="11">
      <c r="B11" s="3" t="inlineStr">
        <is>
          <t>Leads Gerados (contatos via anúncio)</t>
        </is>
      </c>
      <c r="C11" s="3">
        <f>IFERROR(FORMULATEXT(G11),"")</f>
        <v/>
      </c>
      <c r="E11" s="4">
        <f>ROUND(E8/E10,0)</f>
        <v/>
      </c>
      <c r="F11" s="4">
        <f>ROUND(F8/F10,0)</f>
        <v/>
      </c>
      <c r="G11" s="4">
        <f>ROUND(G8/G10,0)</f>
        <v/>
      </c>
    </row>
    <row r="13">
      <c r="B13" s="5" t="inlineStr">
        <is>
          <t>Premissas Pré-venda</t>
        </is>
      </c>
      <c r="E13" s="6" t="n"/>
      <c r="F13" s="6" t="n"/>
      <c r="G13" s="6" t="n"/>
    </row>
    <row r="15">
      <c r="B15" s="3" t="inlineStr">
        <is>
          <t>LEAD &gt; CONTATO RESPONDIDO (WhatsApp)</t>
        </is>
      </c>
      <c r="E15" s="7" t="n">
        <v>0.9</v>
      </c>
      <c r="F15" s="7" t="n">
        <v>0.9</v>
      </c>
      <c r="G15" s="7" t="n">
        <v>0.9</v>
      </c>
    </row>
    <row r="16">
      <c r="B16" s="3" t="inlineStr">
        <is>
          <t>Contato Respondido</t>
        </is>
      </c>
      <c r="C16" s="3">
        <f>IFERROR(FORMULATEXT(G16),"")</f>
        <v/>
      </c>
      <c r="E16" s="4">
        <f>ROUND(E11*E15,0)</f>
        <v/>
      </c>
      <c r="F16" s="4">
        <f>ROUND(F11*F15,0)</f>
        <v/>
      </c>
      <c r="G16" s="4">
        <f>ROUND(G11*G15,0)</f>
        <v/>
      </c>
    </row>
    <row r="17">
      <c r="B17" s="3" t="inlineStr">
        <is>
          <t>CONTATO &gt; ORÇAMENTO ENVIADO</t>
        </is>
      </c>
      <c r="E17" s="7" t="n">
        <v>0.85</v>
      </c>
      <c r="F17" s="7" t="n">
        <v>0.85</v>
      </c>
      <c r="G17" s="7" t="n">
        <v>0.88</v>
      </c>
    </row>
    <row r="18">
      <c r="B18" s="3" t="inlineStr">
        <is>
          <t>Orçamento Enviado</t>
        </is>
      </c>
      <c r="C18" s="3">
        <f>IFERROR(FORMULATEXT(G18),"")</f>
        <v/>
      </c>
      <c r="E18" s="4">
        <f>ROUND(E16*E17,0)</f>
        <v/>
      </c>
      <c r="F18" s="4">
        <f>ROUND(F16*F17,0)</f>
        <v/>
      </c>
      <c r="G18" s="4">
        <f>ROUND(G16*G17,0)</f>
        <v/>
      </c>
    </row>
    <row r="19">
      <c r="B19" s="3" t="inlineStr">
        <is>
          <t>ORÇAMENTO &gt; CONFIRMAÇÃO DE INTERESSE</t>
        </is>
      </c>
      <c r="E19" s="7" t="n">
        <v>0.75</v>
      </c>
      <c r="F19" s="7" t="n">
        <v>0.78</v>
      </c>
      <c r="G19" s="7" t="n">
        <v>0.8</v>
      </c>
    </row>
    <row r="20">
      <c r="B20" s="3" t="inlineStr">
        <is>
          <t>Confirmação de Interesse</t>
        </is>
      </c>
      <c r="C20" s="3">
        <f>IFERROR(FORMULATEXT(G20),"")</f>
        <v/>
      </c>
      <c r="E20" s="4">
        <f>ROUND(E18*E19,0)</f>
        <v/>
      </c>
      <c r="F20" s="4">
        <f>ROUND(F18*F19,0)</f>
        <v/>
      </c>
      <c r="G20" s="4">
        <f>ROUND(G18*G19,0)</f>
        <v/>
      </c>
    </row>
    <row r="22">
      <c r="B22" s="5" t="inlineStr">
        <is>
          <t>Premissas Venda</t>
        </is>
      </c>
      <c r="E22" s="6" t="n"/>
      <c r="F22" s="6" t="n"/>
      <c r="G22" s="6" t="n"/>
    </row>
    <row r="24">
      <c r="B24" s="3" t="inlineStr">
        <is>
          <t>Confirmação de Interesse</t>
        </is>
      </c>
      <c r="C24" s="3">
        <f>IFERROR(FORMULATEXT(G24),"")</f>
        <v/>
      </c>
      <c r="E24" s="4">
        <f>E20</f>
        <v/>
      </c>
      <c r="F24" s="4">
        <f>F20</f>
        <v/>
      </c>
      <c r="G24" s="4">
        <f>G20</f>
        <v/>
      </c>
    </row>
    <row r="25">
      <c r="B25" s="3" t="inlineStr">
        <is>
          <t>CONFIRMAÇÃO &gt; VENDA</t>
        </is>
      </c>
      <c r="E25" s="7" t="n">
        <v>0.41</v>
      </c>
      <c r="F25" s="7" t="n">
        <v>0.42</v>
      </c>
      <c r="G25" s="7" t="n">
        <v>0.41</v>
      </c>
    </row>
    <row r="26">
      <c r="B26" s="3" t="inlineStr">
        <is>
          <t>Venda (barris fechados)</t>
        </is>
      </c>
      <c r="C26" s="3">
        <f>IFERROR(FORMULATEXT(G26),"")</f>
        <v/>
      </c>
      <c r="E26" s="4">
        <f>ROUND(E24*E25,0)</f>
        <v/>
      </c>
      <c r="F26" s="4">
        <f>ROUND(F24*F25,0)</f>
        <v/>
      </c>
      <c r="G26" s="4">
        <f>ROUND(G24*G25,0)</f>
        <v/>
      </c>
    </row>
    <row r="27">
      <c r="B27" s="3" t="inlineStr">
        <is>
          <t>Ticket Médio (70% 30L + 30% 50L)</t>
        </is>
      </c>
      <c r="C27" s="3">
        <f>IFERROR(FORMULATEXT(G27),"")</f>
        <v/>
      </c>
      <c r="E27" s="8" t="n">
        <v>396</v>
      </c>
      <c r="F27" s="8">
        <f>E27</f>
        <v/>
      </c>
      <c r="G27" s="8">
        <f>F27</f>
        <v/>
      </c>
    </row>
    <row r="28">
      <c r="B28" s="3" t="inlineStr">
        <is>
          <t>Faturamento (atribuível à mídia paga)</t>
        </is>
      </c>
      <c r="C28" s="3">
        <f>IFERROR(FORMULATEXT(G28),"")</f>
        <v/>
      </c>
      <c r="E28" s="8">
        <f>E26*E27</f>
        <v/>
      </c>
      <c r="F28" s="8">
        <f>F26*F27</f>
        <v/>
      </c>
      <c r="G28" s="8">
        <f>G26*G27</f>
        <v/>
      </c>
    </row>
    <row r="29">
      <c r="B29" s="3" t="inlineStr">
        <is>
          <t>ROI (Faturamento / Investimento)</t>
        </is>
      </c>
      <c r="C29" s="3">
        <f>IFERROR(FORMULATEXT(G29),"")</f>
        <v/>
      </c>
      <c r="E29" s="9">
        <f>E28/E8</f>
        <v/>
      </c>
      <c r="F29" s="9">
        <f>F28/F8</f>
        <v/>
      </c>
      <c r="G29" s="9">
        <f>G28/G8</f>
        <v/>
      </c>
    </row>
    <row r="30">
      <c r="B30" s="3" t="inlineStr">
        <is>
          <t>Receita Acumulada no Trimestre</t>
        </is>
      </c>
      <c r="E30" s="8">
        <f>E28</f>
        <v/>
      </c>
      <c r="F30" s="8">
        <f>E30+F28</f>
        <v/>
      </c>
      <c r="G30" s="8">
        <f>F30+G28</f>
        <v/>
      </c>
    </row>
  </sheetData>
  <mergeCells count="4">
    <mergeCell ref="B13:C13"/>
    <mergeCell ref="B22:C22"/>
    <mergeCell ref="B5:C5"/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Premissas e Notas Metodológicas — Forecast de Mídia Paga (Lançamento Franca)</t>
        </is>
      </c>
    </row>
    <row r="2">
      <c r="A2" s="11" t="inlineStr"/>
    </row>
    <row r="3">
      <c r="A3" s="11" t="inlineStr">
        <is>
          <t>Período modelado: Jul-Ago-Set 2026 (3 primeiros meses de operação em Franca).</t>
        </is>
      </c>
    </row>
    <row r="4">
      <c r="A4" s="11" t="inlineStr"/>
    </row>
    <row r="5">
      <c r="A5" s="11" t="inlineStr">
        <is>
          <t>Sem dados reais de campanha (V4MOS não conectado — workspace_id null). Premissas baseadas em:</t>
        </is>
      </c>
    </row>
    <row r="6">
      <c r="A6" s="11" t="inlineStr">
        <is>
          <t xml:space="preserve">  - Benchmarks de mercado para anúncios locais de alta intenção</t>
        </is>
      </c>
    </row>
    <row r="7">
      <c r="A7" s="11" t="inlineStr">
        <is>
          <t xml:space="preserve">  - Dados de busca apresentados na reunião S3 (29/05/2026): 11.590 buscas/mês em Franca, CPC R$0,34-R$2,00</t>
        </is>
      </c>
    </row>
    <row r="8">
      <c r="A8" s="11" t="inlineStr">
        <is>
          <t xml:space="preserve">  - Taxa de conversão real citada pelo Cláudio na entrevista comercial (05/06/2026): ~33% lead-&gt;venda em Orlândia</t>
        </is>
      </c>
    </row>
    <row r="9">
      <c r="A9" s="11" t="inlineStr"/>
    </row>
    <row r="10">
      <c r="A10" s="11" t="inlineStr">
        <is>
          <t>Funil adaptado ao modelo de venda real do Colina (WhatsApp consultivo), sem etapa de reunião comercial B2B:</t>
        </is>
      </c>
    </row>
    <row r="11">
      <c r="A11" s="11" t="inlineStr">
        <is>
          <t xml:space="preserve">  Leads Gerados -&gt; Contato Respondido -&gt; Orçamento Enviado -&gt; Confirmação de Interesse -&gt; Venda</t>
        </is>
      </c>
    </row>
    <row r="12">
      <c r="A12" s="11" t="inlineStr"/>
    </row>
    <row r="13">
      <c r="A13" s="11" t="inlineStr">
        <is>
          <t>Ticket médio: R$396 = 70% barril 30L (R$330) + 30% barril 50L (R$550)</t>
        </is>
      </c>
    </row>
    <row r="14">
      <c r="A14" s="11" t="inlineStr"/>
    </row>
    <row r="15">
      <c r="A15" s="11" t="inlineStr">
        <is>
          <t>FORA DO ESCOPO deste forecast (não são mídia-driven):</t>
        </is>
      </c>
    </row>
    <row r="16">
      <c r="A16" s="11" t="inlineStr">
        <is>
          <t xml:space="preserve">  - Vendas via 1.225 PDVs mapeados em Franca (ciclo comercial direto)</t>
        </is>
      </c>
    </row>
    <row r="17">
      <c r="A17" s="11" t="inlineStr">
        <is>
          <t xml:space="preserve">  - Choperia própria de Orlândia (canal físico)</t>
        </is>
      </c>
    </row>
    <row r="18">
      <c r="A18" s="11" t="inlineStr">
        <is>
          <t xml:space="preserve">  - Eventos grandes via trave congelada (ciclo B2B/indicação)</t>
        </is>
      </c>
    </row>
    <row r="19">
      <c r="A19" s="11" t="inlineStr"/>
    </row>
    <row r="20">
      <c r="A20" s="11" t="inlineStr">
        <is>
          <t>RECALIBRAR após o mês 1 com CPL e taxas de conversão reais do Google Ads / Meta Ads Manager.</t>
        </is>
      </c>
    </row>
    <row r="21">
      <c r="A21" s="11" t="inlineStr"/>
    </row>
    <row r="22">
      <c r="A22" s="11" t="inlineStr">
        <is>
          <t>ALERTA OPERACIONAL: Cláudio inicia Franca com apenas 10-15 chopeiras disponíveis. Se a demanda</t>
        </is>
      </c>
    </row>
    <row r="23">
      <c r="A23" s="11" t="inlineStr">
        <is>
          <t>gerada pela mídia superar a capacidade de máquinas, o gargalo passa a ser operacional, não de marketing.</t>
        </is>
      </c>
    </row>
    <row r="24">
      <c r="A24" s="11" t="inlineStr"/>
    </row>
    <row r="25">
      <c r="A25" s="11" t="inlineStr">
        <is>
          <t>BLOQUEADOR CRÍTICO: este forecast só é válido com Landing Page + pixel Meta instalados antes do</t>
        </is>
      </c>
    </row>
    <row r="26">
      <c r="A26" s="11" t="inlineStr">
        <is>
          <t>primeiro real investido em anúncio (ver ee-s2-diagnostico-midia e ee-s3-landing-page).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2026-06-20T23:26:32Z</dcterms:created>
  <dcterms:modified xmlns:dcterms="http://purl.org/dc/terms/" xmlns:xsi="http://www.w3.org/2001/XMLSchema-instance" xsi:type="dcterms:W3CDTF">2026-06-20T23:26:32Z</dcterms:modified>
</cp:coreProperties>
</file>