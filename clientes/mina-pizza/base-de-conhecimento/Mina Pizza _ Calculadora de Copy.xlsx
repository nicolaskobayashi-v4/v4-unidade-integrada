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ABELA DE TELAS" sheetId="1" r:id="rId5"/>
    <sheet state="visible" name="POSICIONAMENTO" sheetId="2" r:id="rId6"/>
    <sheet state="visible" name="USE CASE MAP" sheetId="3" r:id="rId7"/>
    <sheet state="visible" name="LINHA EDITORIAL" sheetId="4" r:id="rId8"/>
    <sheet state="visible" name="CLIENTES" sheetId="5" r:id="rId9"/>
    <sheet state="visible" name="CANAIS" sheetId="6" r:id="rId10"/>
    <sheet state="hidden" name="INDICE DE CANAIS" sheetId="7" r:id="rId11"/>
    <sheet state="hidden" name="FORMATOS" sheetId="8" r:id="rId12"/>
    <sheet state="hidden" name="INDICE DE FORMATOS" sheetId="9" r:id="rId13"/>
    <sheet state="visible" name="PROMPTS CALCULADOS" sheetId="10" r:id="rId14"/>
    <sheet state="visible" name="PROMPTS DE PESQUISA" sheetId="11" r:id="rId15"/>
    <sheet state="hidden" name="INDICE DE TEMAS" sheetId="12" r:id="rId16"/>
    <sheet state="hidden" name="CHECKLIST DE QUALIDADE" sheetId="13" r:id="rId17"/>
  </sheets>
  <definedNames/>
  <calcPr/>
</workbook>
</file>

<file path=xl/sharedStrings.xml><?xml version="1.0" encoding="utf-8"?>
<sst xmlns="http://schemas.openxmlformats.org/spreadsheetml/2006/main" count="1233" uniqueCount="759">
  <si>
    <t>CAMPO</t>
  </si>
  <si>
    <t>ABA</t>
  </si>
  <si>
    <t>ORIENTAÇÕES BÁSICAS</t>
  </si>
  <si>
    <t>CÉLULA</t>
  </si>
  <si>
    <t>FÓRMULA</t>
  </si>
  <si>
    <t>Perfil Base</t>
  </si>
  <si>
    <t>PÚBLICO ALVO</t>
  </si>
  <si>
    <t>Aspecto</t>
  </si>
  <si>
    <t>!</t>
  </si>
  <si>
    <t>CATEGORIAS</t>
  </si>
  <si>
    <t xml:space="preserve">" &amp; </t>
  </si>
  <si>
    <t xml:space="preserve"> &amp; "</t>
  </si>
  <si>
    <t>NOME DO CLIENTE</t>
  </si>
  <si>
    <t>USE CASE MAP</t>
  </si>
  <si>
    <t>Dor e Alívio</t>
  </si>
  <si>
    <t>Escolha Certa</t>
  </si>
  <si>
    <t>B3</t>
  </si>
  <si>
    <t>Vida Nova</t>
  </si>
  <si>
    <t>REGIÃO DE ATENDIMENTO</t>
  </si>
  <si>
    <t>PILAR 1</t>
  </si>
  <si>
    <t>Motivações</t>
  </si>
  <si>
    <t>Problemas Comuns</t>
  </si>
  <si>
    <t>MODELO DE NEGÓCIO</t>
  </si>
  <si>
    <t>Desafios</t>
  </si>
  <si>
    <t>Tipos de Colchões</t>
  </si>
  <si>
    <t>Dores</t>
  </si>
  <si>
    <t>SETOR</t>
  </si>
  <si>
    <t>Benefícios Imediatos</t>
  </si>
  <si>
    <t>Necessidades</t>
  </si>
  <si>
    <t>PILAR 2</t>
  </si>
  <si>
    <t>PRODUTO | SERVIÇO</t>
  </si>
  <si>
    <t>Impactos na Rotina</t>
  </si>
  <si>
    <t>Desejos</t>
  </si>
  <si>
    <t>Guia de Compra</t>
  </si>
  <si>
    <t>SAZONALIDADE</t>
  </si>
  <si>
    <t>Estilo de Vida</t>
  </si>
  <si>
    <t>Comunicação</t>
  </si>
  <si>
    <t>PILAR 3</t>
  </si>
  <si>
    <t>Sinais de Troca</t>
  </si>
  <si>
    <t>Prova Social</t>
  </si>
  <si>
    <t>Qualidade de Vida</t>
  </si>
  <si>
    <t>Detalhamento</t>
  </si>
  <si>
    <t>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t>
  </si>
  <si>
    <t>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t>
  </si>
  <si>
    <t>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t>
  </si>
  <si>
    <t>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t>
  </si>
  <si>
    <t>MINA PIZZA</t>
  </si>
  <si>
    <t>Mais do que alimentação, esse cliente precisa de previsibilidade.
Ele deseja encontrar facilmente a empresa no Google, visualizar o cardápio atualizado, receber atendimento rápido pelo WhatsApp, ter informações claras sobre preços e opções disponíveis e concluir o pedido sem esforço.
Também existe uma necessidade crescente de relacionamento. O público valoriza sentir que é reconhecido, lembrado e respeitado durante o atendimento, aspecto discutido na aplicação da metodologia Jobs to Be Done durante a consultoria.</t>
  </si>
  <si>
    <t>O cliente deseja manter a confiança construída ao longo dos anos, mas espera perceber evolução na empresa.
Ele quer continuar comprando na Mina Pizza sabendo que encontrará uma operação mais moderna, organizada e eficiente, sem perder a tradição que o fez se tornar cliente.
Também busca praticidade para repetir pedidos, receber novidades, promoções e cardápios sem precisar procurar informações em diversos canais.
Essa combinação entre tradição e modernização foi definida como o posicionamento estratégico de "tradição redescoberta" nas reuniões de diagnóstico.</t>
  </si>
  <si>
    <t xml:space="preserve">São Vicente - SP </t>
  </si>
  <si>
    <t>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t>
  </si>
  <si>
    <t>C3</t>
  </si>
  <si>
    <t>Negócio Local (loja física, restaurante, clínica etc.)</t>
  </si>
  <si>
    <t>PROBLEMA</t>
  </si>
  <si>
    <t>PERSONA</t>
  </si>
  <si>
    <t>D3</t>
  </si>
  <si>
    <t>TEMA</t>
  </si>
  <si>
    <t>Dores ao Acordar</t>
  </si>
  <si>
    <t>Cansaço Diário</t>
  </si>
  <si>
    <t>Colchão Vencido</t>
  </si>
  <si>
    <t>Colchão Afundado</t>
  </si>
  <si>
    <t>Mau Humor Matinal</t>
  </si>
  <si>
    <t>Problema</t>
  </si>
  <si>
    <t>Alimentação</t>
  </si>
  <si>
    <t>Barulho ao Virar</t>
  </si>
  <si>
    <t>Contexto</t>
  </si>
  <si>
    <t>Como Lida Hoje</t>
  </si>
  <si>
    <t>Sono Interrompido</t>
  </si>
  <si>
    <t>Pizzas, Marmitas, Pastéis e Refeições Delivery</t>
  </si>
  <si>
    <t>Falta de Energia</t>
  </si>
  <si>
    <t>Expressão da Dor</t>
  </si>
  <si>
    <t>E3</t>
  </si>
  <si>
    <t>Marcas no Corpo</t>
  </si>
  <si>
    <t>Causa Raiz</t>
  </si>
  <si>
    <t>Frequência</t>
  </si>
  <si>
    <t>Persona Modelo Base</t>
  </si>
  <si>
    <t>Não Temos Sazonalidade</t>
  </si>
  <si>
    <t>A Mina Pizza possui uma marca tradicional e reconhecida localmente, porém sua operação digital e parte da experiência de atendimento ainda não acompanham as expectativas atuais do consumidor.
Isso gera um cenário em que novos clientes encontram barreiras para conhecer a empresa, enquanto clientes antigos percebem inconsistências que podem comprometer sua fidelidade. O problema deixa de ser apenas operacional e passa a impactar diretamente o crescimento do negócio.
O diagnóstico também mostrou baixa maturidade digital, com deficiência na gestão do Google Meu Negócio, ausência de campanhas estruturadas, pouca constância nas redes sociais e dependência elevada de plataformas terceiras.</t>
  </si>
  <si>
    <t>F3</t>
  </si>
  <si>
    <t>Durante muitos anos, a Mina Pizza construiu sua clientela principalmente pela localização, tradição e indicação.
Esse modelo foi suficiente enquanto o comportamento de compra era predominantemente presencial ou telefônico. Entretanto, o mercado mudou.
Hoje, antes de escolher um restaurante, o consumidor pesquisa no Google, compara avaliações, consulta fotos, verifica horários, busca facilidade para pedir e espera respostas rápidas pelos canais digitais.
Nas reuniões foi constatado que existiam problemas como localização incorreta no Google, avaliações sem resposta, Instagram desatualizado, inconsistências de identidade da marca e limitações na apresentação do cardápio digital. Esses fatores reduzem a confiança de novos consumidores antes mesmo do primeiro pedido.
Ao mesmo tempo, concorrentes investem continuamente em Google Ads, Meta Ads, presença digital e conteúdos visuais, aumentando sua vantagem competitiva.</t>
  </si>
  <si>
    <t>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t>
  </si>
  <si>
    <t>ESTRATÉGIA</t>
  </si>
  <si>
    <t>A dor percebida pelo cliente não costuma ser verbalizada em termos técnicos. Ela aparece em comentários simples que refletem frustração durante a jornada de compra.
Expressões compatíveis com o cenário identificado nas reuniões incluem:
"Não consegui falar com ninguém."
"Demoraram para atender."
"Não achei o cardápio."
"Não sabia quanto custava."
"Achei que tinham fechado."
"No iFood foi mais fácil pedir."
"Quem me atendeu parecia sem paciência."
O teste de cliente oculto confirmou dificuldades como espera elevada, falta de informações sobre produtos, conversas paralelas durante o atendimento telefônico e tom de voz considerado ríspido, reforçando críticas já presentes nas avaliações online.</t>
  </si>
  <si>
    <t>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t>
  </si>
  <si>
    <t>TOM DE VOZ</t>
  </si>
  <si>
    <t xml:space="preserve">Esse problema é constante.
Todos os dias novos consumidores pesquisam restaurantes antes de decidir onde comprar, enquanto clientes recorrentes avaliam cada interação para decidir se continuarão comprando da mesma empresa.
Cada ligação mal conduzida, avaliação sem resposta, dificuldade para encontrar informações ou atendimento demorado representa uma oportunidade perdida de venda ou fidelização.
Por isso, durante o planejamento, foi definida como prioridade a reorganização da presença digital, a implementação do WhatsApp Business, a padronização do atendimento e a gestão ativa das avaliações antes de ampliar os investimentos em mídia paga.
</t>
  </si>
  <si>
    <t>G3</t>
  </si>
  <si>
    <t>NÍVEL DE LINGUAGEM</t>
  </si>
  <si>
    <t>COMO O PÚBLICO PRECISA SE SENTIR AO VER O CONTEÚDO?</t>
  </si>
  <si>
    <t>CONTEÚDOS POR MÊS</t>
  </si>
  <si>
    <t>Espuma vs Molas</t>
  </si>
  <si>
    <t>EXPRESSÔES CHAVE</t>
  </si>
  <si>
    <t>Como Escolher</t>
  </si>
  <si>
    <t>PALAVRA CHAVE EM FOCO</t>
  </si>
  <si>
    <t>Depoimentos Reais</t>
  </si>
  <si>
    <t>Dona Marlene — 58 anos | Moradora de São Vicente | Aposentada (ou comerciante/autônoma) | Cliente tradicional da região
Dona Marlene mora em São Vicente há décadas e conhece a Mina Pizza desde muito antes do crescimento dos aplicativos de delivery. Ela não é uma consumidora que busca novidades gastronômicas toda semana; prefere comprar de empresas que conhece, que transmitem confiança e que já fazem parte da rotina da família. Para ela, escolher um restaurante não é apenas uma decisão racional baseada em preço, mas uma forma de evitar riscos e garantir que todos em casa ficarão satisfeitos.
Sua rotina é bastante previsível. Durante a semana, procura refeições práticas para evitar cozinhar, principalmente nos dias mais corridos. Nos finais de semana, costuma pedir pizza para reunir filhos, netos ou amigos. Ela valoriza estabelecimentos que entregam comida saborosa, porções bem servidas e um atendimento cordial. Quando encontra um lugar que corresponde às suas expectativas, tende a permanecer cliente por muitos anos.
Do ponto de vista psicológico, Dona Marlene busca segurança e estabilidade. Ela prefere empresas que demonstram organização, respeito e continuidade. Mudanças bruscas, excesso de informalidade ou experiências confusas geram desconforto. Ela acredita que uma empresa tradicional deve evoluir sem perder sua essência.
Seu processo de decisão é influenciado por confiança, hábito e prova social. Antes de experimentar um restaurante desconhecido, costuma verificar avaliações no Google ou pedir recomendações. Se encontra comentários negativos recorrentes sobre atendimento ou qualidade, tende a desistir da compra. Ao contrário, quando vê boas avaliações, fotos reais e respostas educadas da empresa, sente maior segurança para realizar o pedido. Esse comportamento está alinhado à prioridade dada, nas reuniões, à gestão ativa das avaliações e da reputação online.
Embora utilize tecnologia diariamente, sua relação com ela é funcional. Usa WhatsApp com frequência para conversar com familiares e considera esse o canal mais confortável para fazer pedidos. Também realiza pesquisas no Google quando procura informações sobre um estabelecimento, mas não deseja enfrentar processos complicados, cadastros extensos ou múltiplos aplicativos. A preferência por uma jornada simples e por canais próprios, especialmente o WhatsApp Business, foi destacada como prioridade estratégica durante a consultoria.
Quando pensa na Mina Pizza, Dona Marlene enxerga uma empresa tradicional, conhecida na cidade e associada a boas lembranças. No entanto, espera perceber sinais claros de modernização. Ela deseja encontrar informações atualizadas no Google, visualizar fotos de qualidade, acessar facilmente o cardápio e receber um atendimento educado e eficiente. Se essas expectativas não forem atendidas, começa a comparar a experiência com concorrentes que oferecem uma jornada mais organizada.
Sua maior frustração não é pagar um pouco mais por uma refeição de qualidade; é sentir que precisa fazer esforço para comprar. Ligações demoradas, falta de informações, dificuldade para descobrir os pratos disponíveis ou um atendimento impessoal fazem com que questione se a empresa ainda acompanha as necessidades dos clientes.
Em contrapartida, quando a experiência é positiva, Dona Marlene torna-se uma forte promotora da marca. Ela recomenda a Mina Pizza para familiares, vizinhos e amigos, volta a comprar com frequência e contribui para fortalecer a reputação construída ao longo dos anos. Esse potencial de fidelização e recomendação reforça a estratégia definida nas reuniões de priorizar a retenção da base atual, aumentar a frequência de compra e combinar tradição com modernização da experiência do cliente.</t>
  </si>
  <si>
    <t>H3</t>
  </si>
  <si>
    <t>Firmeza Ideal</t>
  </si>
  <si>
    <t>Próximo, acolhedor e tradicional</t>
  </si>
  <si>
    <t>ALTERNATIVAS</t>
  </si>
  <si>
    <t>Erros Frequentes</t>
  </si>
  <si>
    <t>Antes e Depois</t>
  </si>
  <si>
    <t>Altura e Conforto</t>
  </si>
  <si>
    <t>Testar na Loja</t>
  </si>
  <si>
    <t>Histórias de Troca</t>
  </si>
  <si>
    <t>PORQUÊ</t>
  </si>
  <si>
    <t>Simples e objetiva, com linguagem regional e foco em confiança e tradição</t>
  </si>
  <si>
    <t>Diretas</t>
  </si>
  <si>
    <t>Indiretas</t>
  </si>
  <si>
    <t>B7</t>
  </si>
  <si>
    <t>Substitutas</t>
  </si>
  <si>
    <t>Motivo (Evento Gatilho)</t>
  </si>
  <si>
    <t>Diferencial</t>
  </si>
  <si>
    <t>Benefício Curto Prazo</t>
  </si>
  <si>
    <t>Benefício Longo Prazo</t>
  </si>
  <si>
    <t>Que encontrou um restaurante de confiança, com tradição, atendimento próximo e comida de qualidade para compartilhar com a família sem preocupação.</t>
  </si>
  <si>
    <t>C7</t>
  </si>
  <si>
    <t>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t>
  </si>
  <si>
    <t>3 Conteúdos por Semana</t>
  </si>
  <si>
    <t>Dormir Melhor Hoje</t>
  </si>
  <si>
    <t>"O sabor que faz parte da história de São Vicente." • "Pizza boa é aquela que reúne a família." • "Tradição que continua na sua mesa." • "Peça pelo WhatsApp de forma rápida e fácil." • "Almoço caseiro, pizza de verdade e atendimento de quem conhece você."</t>
  </si>
  <si>
    <t>Quarto dos Sonhos</t>
  </si>
  <si>
    <t>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t>
  </si>
  <si>
    <t>Pizza Delivery São Vicente</t>
  </si>
  <si>
    <t>Sono e Saúde</t>
  </si>
  <si>
    <t>D7</t>
  </si>
  <si>
    <t>Conforto Renovado</t>
  </si>
  <si>
    <t>Autocuidado Noturno</t>
  </si>
  <si>
    <t>Rendimento Pessoal</t>
  </si>
  <si>
    <t>Acordar Leve</t>
  </si>
  <si>
    <t>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t>
  </si>
  <si>
    <t>Bem-estar Diário</t>
  </si>
  <si>
    <t>Relação com o Sono</t>
  </si>
  <si>
    <t>O cliente não acorda querendo comprar uma pizza ou uma marmita; ele busca resolver uma situação específica do seu dia.
Durante a semana, o gatilho mais comum é a falta de tempo. Depois de um dia de trabalho, ele quer uma refeição pronta, saborosa e confiável, sem precisar cozinhar ou perder tempo escolhendo entre dezenas de opções. No horário do almoço, procura uma comida que transmita a sensação de refeição caseira, com rapidez e bom custo-benefício.
Nos finais de semana, o gatilho muda. A pizza representa um momento de convivência: reunir a família, receber amigos ou simplesmente transformar uma noite comum em uma ocasião agradável. Nesses momentos, o cliente evita correr riscos escolhendo um restaurante desconhecido e tende a recorrer a marcas que já fazem parte da sua história.
Outro gatilho importante identificado nas reuniões é a busca por praticidade. Quando o consumidor encontra facilmente o restaurante no Google, acessa um cardápio organizado, faz o pedido rapidamente pelo WhatsApp e recebe um atendimento cordial, a decisão de compra se torna quase automática.</t>
  </si>
  <si>
    <t>E7</t>
  </si>
  <si>
    <t>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t>
  </si>
  <si>
    <t>Os benefícios percebidos imediatamente pelo cliente são práticos e facilmente mensuráveis.
Ele consegue encontrar a empresa com facilidade, visualizar informações atualizadas, acessar um cardápio organizado, realizar o pedido sem esforço e receber um atendimento mais rápido e cordial.
Essas melhorias reduzem o tempo entre a intenção de compra e a conclusão do pedido, diminuem a insegurança durante a escolha e aumentam a satisfação logo na primeira experiência.
Do ponto de vista emocional, o cliente sente tranquilidade ao perceber que está comprando de uma empresa organizada, acessível e preparada para atendê-lo.
Grande parte das ações propostas durante a consultoria — implementação do WhatsApp Business, padronização do atendimento, atualização do Google Meu Negócio e organização da presença digital — foi planejada justamente para gerar esse ganho imediato.</t>
  </si>
  <si>
    <t>F7</t>
  </si>
  <si>
    <t>A transformação mais importante acontece ao longo do relacionamento.
O cliente passa a enxergar a Mina Pizza não apenas como um restaurante tradicional, mas como a primeira opção quando pensa em refeições práticas e confiáveis na região.
Essa percepção fortalece a fidelização, aumenta a frequência de compra e estimula recomendações espontâneas para familiares e amigos, reduzindo a necessidade de depender exclusivamente de promoções ou mídia paga para gerar vendas.
Para a empresa, isso representa uma base de clientes mais sólida, maior previsibilidade de receita e crescimento sustentado por reputação, relacionamento e recorrência.
Esse objetivo está diretamente alinhado à estratégia definida nas reuniões: fortalecer canais próprios, aumentar a retenção da base atual e utilizar a tradição da marca como principal ativo competitivo, apoiado por uma operação digital mais eficiente.</t>
  </si>
  <si>
    <t>G7</t>
  </si>
  <si>
    <t>TESTE DE VALOR</t>
  </si>
  <si>
    <t>MELHOR CLIENTE</t>
  </si>
  <si>
    <t>QUEM É ESTE CLIENTE</t>
  </si>
  <si>
    <t>PUV (Proposta Única de Valor)</t>
  </si>
  <si>
    <t>Problema Definido</t>
  </si>
  <si>
    <t>DIFERENÇAS</t>
  </si>
  <si>
    <t>Como Alivia a Dor</t>
  </si>
  <si>
    <t>MOTIVAÇÃO</t>
  </si>
  <si>
    <t>Ganho Prometido</t>
  </si>
  <si>
    <t>CONSCIÊNCIA</t>
  </si>
  <si>
    <t>B11</t>
  </si>
  <si>
    <t>Ganhos Intangíveis</t>
  </si>
  <si>
    <t>CONTATO</t>
  </si>
  <si>
    <t>Consciência do Público</t>
  </si>
  <si>
    <t>FREQUÊNCIA</t>
  </si>
  <si>
    <t>POTENCIAL</t>
  </si>
  <si>
    <t>Mulher, 38 anos, fisioterapeuta clínica em Campinas (SP), classe média alta, sensível à saúde e qualidade de vida.</t>
  </si>
  <si>
    <t>"A tradição de São Vicente, agora com uma experiência de pedido simples, rápida e confiável para quem quer pizzas, marmitas e refeições de qualidade sem abrir mão da confiança construída ao longo de décadas."
Essa proposta reúne os principais diferenciais identificados nas reuniões:
tradição comprovada;
reconhecimento local;
variedade de refeições para diferentes momentos de consumo;
modernização da jornada de compra;
foco na confiança e na recorrência.
Ela evita competir apenas por preço e posiciona a Mina Pizza como uma marca que oferece segurança, praticidade e continuidade.</t>
  </si>
  <si>
    <t>Muito bem informada, comparou várias marcas antes de decidir, deu feedback técnico após uso, virou embaixadora informal da marca.</t>
  </si>
  <si>
    <t>Sofria com dores lombares crônicas, pacientes sempre perguntavam sobre colchões. Buscava algo com suporte firme, feito para seu biotipo.</t>
  </si>
  <si>
    <t>O cliente deseja uma refeição de qualidade, mas encontra dificuldades para identificar rapidamente um restaurante que reúna confiança, praticidade e uma boa experiência de atendimento.
Embora a Mina Pizza já possua credibilidade construída ao longo dos anos, sua presença digital, seus canais de atendimento e parte da experiência operacional ainda não refletem plenamente essa reputação.
Isso faz com que novos consumidores encontrem concorrentes com mais facilidade, enquanto clientes antigos percebam atritos que reduzem a frequência de compra.
Esse diagnóstico foi recorrente ao longo das reuniões, especialmente em relação ao Google Meu Negócio, atendimento telefônico, gestão das avaliações e canais digitais.</t>
  </si>
  <si>
    <t>Ciente da solução e do produto, já pesquisava colchões ortopédicos e personalizados.</t>
  </si>
  <si>
    <t>C11</t>
  </si>
  <si>
    <t>Descobriu via vídeo no YouTube sobre ergonomia do sono, clicou no link e agendou atendimento consultivo.</t>
  </si>
  <si>
    <t>Fez uma compra premium e depois indicou para 5 pacientes. Mandou 3 mensagens de agradecimento.</t>
  </si>
  <si>
    <t>Alto – tem influência no segmento de saúde, virou cliente recorrente para outros produtos (travesseiro, base, colchão infantil).</t>
  </si>
  <si>
    <t>A proposta da Mina Pizza reduz o esforço necessário para decidir e realizar um pedido.
O cliente encontra facilmente a empresa no Google, acessa um cardápio organizado, escolhe entre pizza, marmitas ou pastéis conforme sua necessidade, realiza o pedido por um canal simples — preferencialmente o WhatsApp — e recebe um atendimento mais padronizado e acolhedor.
Ao mesmo tempo, a tradição da marca reduz a insegurança comum ao experimentar um restaurante desconhecido. O cliente sente que está comprando de uma empresa consolidada, que faz parte da história da cidade e que agora entrega uma experiência compatível com os padrões atuais.
As ações recomendadas na consultoria, como implantação do WhatsApp Business, organização do Google Meu Negócio, protocolo de atendimento e fortalecimento da reputação online, foram justamente planejadas para eliminar esses pontos de atrito.</t>
  </si>
  <si>
    <t>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t>
  </si>
  <si>
    <t>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t>
  </si>
  <si>
    <t>D11</t>
  </si>
  <si>
    <t>CLIENTE MAIS ANTIGO</t>
  </si>
  <si>
    <t>Nível de consciência: Médio
O cliente já sabe que precisa de uma refeição prática e conhece boa parte das alternativas disponíveis.
Ele também reconhece a Mina Pizza como uma marca tradicional.
No entanto, ainda não percebe completamente a transformação que a empresa está realizando nem os novos diferenciais relacionados à experiência digital, às marmitas, ao atendimento e à facilidade de compra.
Por isso, a comunicação deve demonstrar continuamente que a tradição permanece, mas a experiência evoluiu. O posicionamento de "tradição redescoberta" definido durante a consultoria atende exatamente a esse objetivo: reduzir a distância entre a imagem histórica da marca e a experiência moderna que se deseja oferecer.</t>
  </si>
  <si>
    <t>INSTAGRAM</t>
  </si>
  <si>
    <t>CANAL</t>
  </si>
  <si>
    <t>E11</t>
  </si>
  <si>
    <t>Casal, 42 e 39 anos, empresários no setor de franquias, alto poder aquisitivo, moram em Alphaville (SP).</t>
  </si>
  <si>
    <t>AVALIAÇÃO DE PROPOSTA</t>
  </si>
  <si>
    <t>Compraram 3 colchões completos: suíte máster, casa de praia e para o filho. Sem barganha, com upgrades.</t>
  </si>
  <si>
    <t>Reformaram a casa e queriam uma experiência de sono personalizada para cada ambiente.</t>
  </si>
  <si>
    <t>Totalmente conscientes – chegaram com referências, queriam “o melhor colchão do Brasil”.</t>
  </si>
  <si>
    <t>Indicação de arquiteta parceira da marca.</t>
  </si>
  <si>
    <t>IMPACTO</t>
  </si>
  <si>
    <t>F11</t>
  </si>
  <si>
    <t>Compraram 3 vezes em 90 dias e recomendaram para outro casal (ticket semelhante).</t>
  </si>
  <si>
    <t>Alto – têm poder de compra, rede social com lifestyle forte, valorizaram experiência personalizada e exclusividade do atendimento.</t>
  </si>
  <si>
    <t>Intensidade do Sonho</t>
  </si>
  <si>
    <t>Probabilidade de Sucesso</t>
  </si>
  <si>
    <t>Tempo Necessário</t>
  </si>
  <si>
    <t>Esforço Necessário</t>
  </si>
  <si>
    <t>Magnitude</t>
  </si>
  <si>
    <t>CLIENTE MAIS LUCRATIVO</t>
  </si>
  <si>
    <t>Custo de Troca</t>
  </si>
  <si>
    <t>G11</t>
  </si>
  <si>
    <t>Custo de Não Mudar</t>
  </si>
  <si>
    <t>Alta
O cliente não sonha, necessariamente, em comprar uma pizza. O sonho é mais profundo: ele deseja ter uma refeição saborosa, prática e confiável para compartilhar com quem gosta, sem preocupação com qualidade, atraso ou atendimento.
Esse desejo está presente de forma recorrente na rotina do público identificado durante a consultoria. A Mina Pizza atende tanto momentos cotidianos (almoço e jantar) quanto ocasiões especiais (encontros familiares e finais de semana), ampliando a relevância da marca na vida do consumidor.
Além disso, existe um componente emocional importante: muitos clientes cresceram consumindo a marca e desejam continuar vivendo essa experiência com a mesma confiança de antes, agora aliada a uma operação mais moderna.</t>
  </si>
  <si>
    <t>Alta
A proposta apresenta elevada probabilidade de sucesso porque não depende da criação de um novo hábito de consumo. Ela fortalece um comportamento que já existe.
Durante o diagnóstico, verificou-se que a Mina Pizza possui ativos competitivos difíceis de replicar:
marca consolidada há décadas;
reconhecimento regional;
clientes recorrentes;
boa avaliação no iFood;
estrutura operacional capaz de atender diferentes categorias de produtos.
Os principais desafios identificados não estão relacionados ao produto, mas à execução: organização dos canais digitais, padronização do atendimento, gestão da reputação online e fortalecimento dos canais próprios. Essas ações foram priorizadas justamente por serem de alto impacto e relativamente baixo esforço.
Como a empresa já possui confiança do mercado, a modernização da experiência tende a potencializar esse patrimônio em vez de exigir uma mudança completa de posicionamento.</t>
  </si>
  <si>
    <t>Homem, 67 anos, aposentado, mora em Belo Horizonte. Cliente desde 2017. Conservador, detalhista, muito fiel.</t>
  </si>
  <si>
    <t>H11</t>
  </si>
  <si>
    <t>Exige explicações técnicas profundas, confia na marca. Telefone fixo, não interage em redes, mas liga a cada 2 anos para ajustes.</t>
  </si>
  <si>
    <t>Curto Prazo
Parte dos resultados pode ser percebida rapidamente após a implementação das melhorias recomendadas.
Entre eles:
aumento da facilidade para encontrar a empresa;
melhora da percepção da marca;
crescimento do contato via WhatsApp;
aumento da taxa de conversão;
redução do atrito durante o pedido.
Já resultados como fortalecimento da fidelização, aumento da recorrência, crescimento do ticket médio e redução da dependência do iFood exigem continuidade e disciplina operacional, mas começam a ser construídos desde as primeiras mudanças.
Essa lógica foi refletida no plano de ação definido nas reuniões, que priorizou intervenções de baixo esforço e alto impacto antes da expansão dos investimentos em mídia.</t>
  </si>
  <si>
    <t>Comprou após indicação do ortopedista. Tinha hérnia de disco e queria um colchão que aliviasse a dor.</t>
  </si>
  <si>
    <t>Ciente do problema e da solução, mas desconfiava de marcas populares. Queria algo confiável.</t>
  </si>
  <si>
    <t>Descobriu após indicação boca a boca e buscou no Google, depois ligou para a loja.</t>
  </si>
  <si>
    <t>Normal
Para o cliente, o esforço tende a ser mínimo: a jornada fica mais simples, com acesso facilitado às informações e canais de atendimento.
Para a empresa, entretanto, será necessário manter disciplina na execução das rotinas definidas durante a consultoria, como:
responder avaliações no Google e no iFood;
atualizar continuamente o Google Meu Negócio;
manter o Instagram ativo;
utilizar o WhatsApp Business como canal principal;
padronizar o atendimento;
fortalecer campanhas de mídia baseadas em prova social;
acompanhar indicadores de conversão e retenção.
Essas ações não exigem mudanças estruturais profundas, mas requerem consistência. O sucesso dependerá mais da qualidade da execução do que da complexidade das iniciativas.</t>
  </si>
  <si>
    <t>Comprou colchão em 2017, base em 2019, e nova espuma sob medida em 2022.</t>
  </si>
  <si>
    <t>B15</t>
  </si>
  <si>
    <t>Médio – apesar da idade e do ticket limitado, tem influência sobre outros aposentados e familiares (já indicou a filha e o cunhado).</t>
  </si>
  <si>
    <t>Alta
O impacto da proposta da Mina Pizza vai além da venda de refeições. Ela transforma a forma como o cliente se relaciona com a marca.
Ao modernizar sua presença digital, organizar seus canais de atendimento e fortalecer a experiência de compra, a empresa reduz atritos que hoje comprometem tanto a aquisição de novos consumidores quanto a retenção da base fiel.
Para o cliente, isso significa encontrar uma empresa conhecida, confiável e muito mais fácil de acessar.
Para o negócio, significa converter décadas de reputação em crescimento sustentável.
As reuniões mostraram que a empresa já possui ativos relevantes — tradição, reconhecimento regional, boa avaliação no iFood e um público fiel —, mas ainda não captura todo esse valor por limitações na operação digital.</t>
  </si>
  <si>
    <t>Público</t>
  </si>
  <si>
    <t>Diária
O problema aparece todos os dias.
Todos os dias consumidores pesquisam restaurantes no Google, avaliam comentários, comparam cardápios, escolhem canais de atendimento e decidem onde realizar seus pedidos.
Da mesma forma, clientes antigos avaliam continuamente a experiência oferecida pela empresa.
Cada pedido representa uma nova oportunidade de fortalecer ou enfraquecer a confiança construída ao longo de décadas.
Foi justamente por isso que a consultoria priorizou ações permanentes como:
responder avaliações;
atualizar informações da empresa;
manter presença ativa nas redes sociais;
fortalecer o WhatsApp Business;
padronizar o atendimento.</t>
  </si>
  <si>
    <t xml:space="preserve">Baixo para o cliente | Moderado para a empresa
Para o cliente
Adotar a nova experiência praticamente não exige esforço.
Ele continua comprando da mesma marca que conhece, apenas utilizando canais mais simples e eficientes.
Não precisa aprender um novo serviço nem alterar seus hábitos de consumo.
Para a empresa
O investimento está concentrado em execução e organização.
As mudanças identificadas durante a consultoria envolvem principalmente:
gestão contínua da reputação online;
organização dos canais digitais;
atualização das informações institucionais;
treinamento da equipe de atendimento;
produção recorrente de conteúdo;
utilização consistente do WhatsApp Business;
acompanhamento de indicadores.
Essas iniciativas demandam disciplina operacional mais do que grandes investimentos financeiros.
</t>
  </si>
  <si>
    <t>C15</t>
  </si>
  <si>
    <t>O CLIENTE DOS SONHOS</t>
  </si>
  <si>
    <t>Muito Alto
Este é o ponto mais crítico identificado durante o diagnóstico.
Caso a Mina Pizza mantenha o modelo atual, os riscos tendem a aumentar progressivamente.
No curto prazo:
perda de novos clientes para concorrentes mais organizados digitalmente;
dificuldade para converter pesquisas em vendas;
continuidade das avaliações sem resposta;
dependência crescente do iFood.
No médio prazo:
redução da frequência de compra dos clientes tradicionais;
aumento do custo de aquisição de clientes;
necessidade crescente de promoções para competir.
No longo prazo:
enfraquecimento gradual da marca perante novas gerações;
perda do patrimônio construído ao longo de décadas;
redução da competitividade regional.
Esses riscos foram amplamente discutidos durante as reuniões, especialmente em relação à dependência de plataformas, à reputação digital e à necessidade de fortalecer canais próprios antes de ampliar investimentos em mídia paga.</t>
  </si>
  <si>
    <t>D15</t>
  </si>
  <si>
    <t>Mulher, 33 anos, influenciadora digital no nicho de autocuidado e bem-estar, com 180k seguidores no Instagram, mora em Florianópolis.</t>
  </si>
  <si>
    <t>Além de comprar, documentou a jornada do colchão em posts e stories, gerando 7 novos leads de alto valor em uma semana.</t>
  </si>
  <si>
    <t>E15</t>
  </si>
  <si>
    <t>Busca constante por otimizar performance e qualidade de vida. Já tinha testado colchões gringos e queria algo nacional de alto nível.</t>
  </si>
  <si>
    <t>Totalmente consciente – buscava uma marca nacional premium e já entendia sobre densidade, materiais e sono profundo.</t>
  </si>
  <si>
    <t>Veio por tráfego orgânico de Instagram, depois acessou o site, leu o blog e chamou no WhatsApp.</t>
  </si>
  <si>
    <t>Comprou colchão, base, travesseiros e está testando nova espuma para divulgar num review.</t>
  </si>
  <si>
    <t>F15</t>
  </si>
  <si>
    <t>Altíssimo – gera autoridade, conversão orgânica e agrega valor aspiracional à marca. Pode ser parceira recorrente ou rosto da campanha.</t>
  </si>
  <si>
    <t>PÚBLICO</t>
  </si>
  <si>
    <t>DESCRIÇÃO</t>
  </si>
  <si>
    <t>G15</t>
  </si>
  <si>
    <t>INSTAGRAM1</t>
  </si>
  <si>
    <t>Apressados e Visuais (16–40)</t>
  </si>
  <si>
    <t>São pessoas que consomem conteúdo em intervalos curtos ao longo do dia, como durante o transporte, pausas no trabalho ou no banheiro. Preferem Reels de até 15 segundos, vídeos com legenda automática e ritmo acelerado. Não têm paciência para conteúdo lento ou complexo. Se algo chamar atenção nos primeiros segundos, elas param. O pensamento dominante é: “me mostra logo o que eu ganho com isso”. Normalmente clicam apenas se o botão ou mensagem for mais chamativo que o próprio conteúdo. Esse público é excelente para produtos de giro rápido, promoções diretas, reviews e humor cotidiano.</t>
  </si>
  <si>
    <t>INSTAGRAM2</t>
  </si>
  <si>
    <t>EXPLICAÇÃO</t>
  </si>
  <si>
    <t>Analíticos e Silenciosos (25–55)</t>
  </si>
  <si>
    <t>Esse grupo é formado por pessoas mais racionais, que observam muito antes de agir. Costumam acessar o Instagram no início da manhã ou no final do dia, e valorizam conteúdos que ensinam algo útil. Carrosséis explicativos, análises, frameworks e bastidores são os formatos que mais atraem. Eles raramente curtem ou comentam, mas salvam e voltam depois. Clicam mais em DMs, botões discretos e CTAs bem posicionados. São ideais para negócios B2B, serviços técnicos, consultorias e produtos de alto valor com foco em argumento lógico.</t>
  </si>
  <si>
    <t>B19</t>
  </si>
  <si>
    <t>INSTAGRAM3</t>
  </si>
  <si>
    <t>Em busca de pertencimento (18–35)</t>
  </si>
  <si>
    <t>Esse público é movido por aspiração e identidade. Querem encontrar referências de quem já chegou onde eles querem estar. Consomem frases com fundo preto, rotinas editadas, lifestyle e narrativas de superação. Estão presentes principalmente na madrugada e nas manhãs. Eles pensam: “quero ser alguém, quem já chegou lá?”. Engajam através de marcações, comentários de identificação e salvamentos emocionais. Conectam muito bem com conteúdos que falam sobre propósito, mudança de vida, estética e liberdade. São ótimos para marcas com storytelling forte, produtos aspiracionais e influenciadores.</t>
  </si>
  <si>
    <t>INSTAGRAM4</t>
  </si>
  <si>
    <t>Práticos do Dia a Dia (20–60)</t>
  </si>
  <si>
    <t>C19</t>
  </si>
  <si>
    <t>Formado por pessoas que usam o Instagram como ferramenta de solução, esse público valoriza conteúdos que resolvem problemas reais. Consomem antes e depois, tutoriais curtos, dicas rápidas e explicações simples. Estão ativos ao longo do expediente e aos sábados. Pensam sempre: “isso resolve meu problema agora?”. Costumam clicar em stories com instruções claras, destaques de “como funciona” e enviar direct com dúvidas. São perfeitos para produtos de uso doméstico, alimentação, cuidados pessoais, serviços locais e soluções rápidas — inclusive papel higiênico.</t>
  </si>
  <si>
    <t>INSTAGRAM5</t>
  </si>
  <si>
    <t>Família e Rotina (25–55)</t>
  </si>
  <si>
    <t>Descreva os atributos objetivos e estruturais do cliente.
Para B2B:
Porte da empresa (faturamento, número de funcionários)
Setor de atuação
Cargo do decisor
Tempo de mercado
Para B2C:
Faixa etária
Gênero
Profissão ou renda
Estilo de Vida</t>
  </si>
  <si>
    <t>Aqui temos mães, pais e cuidadores que consomem Instagram como extensão da vida familiar. Acessam a plataforma de manhã, antes do caos começar, ou à noite, quando a casa está em silêncio. Preferem conteúdo que ajude na rotina, sem exigir esforço mental. Se conectam com memes sobre filhos, reviews de produtos, dicas financeiras e soluções práticas para o dia a dia. Detestam jargões, enrolação e vídeos confusos. Clicam em stories com explicação leve, CTAs contextuais e depoimentos reais. Perfeitos para nichos de lar, saúde, limpeza, alimentação e bem-estar familiar.</t>
  </si>
  <si>
    <t>O que torna esse cliente diferente dos demais que você atende. Pode ser um comportamento, uma atitude ou uma característica inesperada.
Exemplos:
É extremamente engajado
Decide rápido
Sempre traz feedbacks úteis
Já conhecia o problema profundamente
Tem comportamento colaborativo</t>
  </si>
  <si>
    <t>INSTAGRAM6</t>
  </si>
  <si>
    <t>Curiosos e Entusiastas (16–50)</t>
  </si>
  <si>
    <t>O gatilho real que fez esse cliente tomar a decisão de compra. O que aconteceu no mundo dele que gerou ação?
Exemplos:
Tinha urgência para resolver um problema
Buscava redução de custo
Queria melhorar um processo
Precisava de um parceiro de confiança
Estava frustrado com fornecedor anterior</t>
  </si>
  <si>
    <t>D19</t>
  </si>
  <si>
    <t>São usuários ativos e inquietos. Vivem zapeando o Instagram em busca de novidade. Gostam de bastidores, “como é feito”, testes de produto e comparativos visuais. Não necessariamente compram de imediato, mas são impactados por conteúdos intrigantes que despertam dúvida. Pensam: “quero saber mais, mesmo que não compre agora”. Engajam por salvamento ou comentário perguntando algo. São ótimos para nichos como tecnologia, cosméticos, alimentos e qualquer conteúdo que permita explorar bastidores ou diferenciais técnicos.</t>
  </si>
  <si>
    <t>Qual era o nível de consciência dele no momento da compra?
Níveis (baseados em Eugene Schwartz):
Inconsciente – nem sabia que tinha um problema
Ciente do problema – sabia que tinha um problema, mas não buscava solução
Ciente da solução – sabia que havia saídas, mas não conhecia sua empresa
Ciente do produto – já conhecia sua empresa/produto
Totalmente consciente – já queria comprar, só faltava executar</t>
  </si>
  <si>
    <t>INSTAGRAM7</t>
  </si>
  <si>
    <t>Caçadores de Oportunidades (18–60)</t>
  </si>
  <si>
    <t>Por onde esse cliente te encontrou ou chegou até sua solução?
Pode ter sido uma rede social, campanha paga, indicação, conteúdo, evento, anúncio, etc.
Exemplos:
Veio pelo Instagram após um reels viral
Indicação de cliente atual
Encontrou pelo Google procurando por “solução X”
Conversou num evento e depois voltou pelo site</t>
  </si>
  <si>
    <t>Esse público vive atrás de ofertas, novidades e condições especiais. Estão atentos a cupons, lançamentos e conteúdos com gatilhos de escassez ou urgência. Acessam o Instagram ao longo do dia, com mais força nas quintas e sextas. Pensam: “se eu não aproveitar isso agora, vou me arrepender”. Clicam imediatamente em botões chamativos, muitas vezes sem nem ler a legenda toda. Ideais para ecommerce, campanhas de lançamento, datas sazonais, produtos promocionais e qualquer conteúdo que envolva vantagem imediata.</t>
  </si>
  <si>
    <t>TIKTOK1</t>
  </si>
  <si>
    <t>Com que regularidade esse cliente interage com sua marca: compra, renova, consome conteúdo, indica ou responde?
Exemplos:
Comprou 3x em 6 meses
Assinatura recorrente mensal
Responde a todas as comunicações
Entrou em 2 produtos diferentes
Participa de lives ou eventos</t>
  </si>
  <si>
    <t>Jovens Viralizadores (15–24)</t>
  </si>
  <si>
    <t>E19</t>
  </si>
  <si>
    <t>Avalie se esse cliente pode crescer com você — comprando mais, indicando outros ou evoluindo de produto.
Exemplos:
Tem filiais ou outras áreas
Está crescendo e pode escalar
Está aberto a testar novos serviços
Tem rede de influência
Já indicou outros clientes</t>
  </si>
  <si>
    <t>São nativos da plataforma. Usam TikTok como principal rede social. Consomem entre 1 a 3 horas por dia. Interagem com tudo: trends, humor, storytelling exagerado, react, POV. Amam vídeos com cortes rápidos, música alta e textos sobrepostos. Compartilham com amigos, salvam para imitar, e fazem duetos. Não ligam para autoridade — querem identificação e entretenimento. O tom precisa ser informal, visualmente acelerado e com códigos de comunidade. Gatilhos como “você viu isso?” ou “ninguém fala sobre isso” funcionam bem.</t>
  </si>
  <si>
    <t>TIKTOK2</t>
  </si>
  <si>
    <t>Criadores Iniciantes (20–35)</t>
  </si>
  <si>
    <t>Pessoas que querem crescer na plataforma. Estão aprendendo algoritmo, testando formatos e copiando tendências. Consomem muito conteúdo de bastidor, hack de engajamento, dicas de roteiro e edição. Preferem vídeos que ensinam “o que postar” ou “como viralizar”. Compartilham entre grupos e comentam tentando gerar visibilidade. O tom precisa ser direto, de bastidor, com CTA claro tipo: “salva esse roteiro” ou “testa isso no seu vídeo de amanhã”.</t>
  </si>
  <si>
    <t>TIKTOK3</t>
  </si>
  <si>
    <t>F19</t>
  </si>
  <si>
    <t>Empreendedores Populares</t>
  </si>
  <si>
    <t>Donos de pequenos negócios, principalmente locais (barbearias, estúdios de unha, doces, brechós), que viralizaram com vídeos simples e querem mais. Estão aprendendo que o TikTok gera clientes. Gostam de ver vídeos de “antes e depois”, rotina, reação de clientes e desafios. Gravando no próprio celular, sem edição pesada. O tom ideal é descontraído, popular e espontâneo. Frases como “acompanha a rotina da loja hoje” ou “olha o que esse cliente pediu” engajam muito.</t>
  </si>
  <si>
    <t>TIKTOK4</t>
  </si>
  <si>
    <t>Vendedores de Info ou Produto Digital</t>
  </si>
  <si>
    <t>Estão transformando o TikTok em vitrine de produtos digitais (ebooks, cursos, PLR, serviços). Usam CTAs fortes e técnicas de copy. Costumam repetir vídeos com leve variação de roteiro. Gostam de mostrar resultado, ping de venda, dashboard. O conteúdo performa quando o vídeo promete algo direto: “como eu fiz R$1.000 vendendo isso aqui”. Tom vendedor, objetivo e com visual apelativo. Gatilhos visuais como prints, barras de progresso, reações funcionam.</t>
  </si>
  <si>
    <t>G19</t>
  </si>
  <si>
    <t>TIKTOK5</t>
  </si>
  <si>
    <t>Mulheres de Interesse Misto (25–45)</t>
  </si>
  <si>
    <t>Mulheres que não criam conteúdo, mas consomem muito. Estão ali para relaxar, rir, chorar, aprender algo útil. Gostam de vídeos com histórias emocionantes, conselhos sobre autoestima, maternidade, relacionamento, organização, beleza e rotina real. Compartilham vídeos com legenda tipo “você precisava ouvir isso”. O tom precisa ser humano, suave e envolvente. Formatos como narração + rotina com música tocam forte.</t>
  </si>
  <si>
    <t>TIKTOK6</t>
  </si>
  <si>
    <t>Conteudistas Técnicos</t>
  </si>
  <si>
    <t>H19</t>
  </si>
  <si>
    <t>Criadores de conteúdo profissional que migraram do Instagram ou YouTube. Estão testando a linguagem da plataforma e ainda falam mais do que mostram. Quando acertam o tom, viralizam com vídeos que simplificam temas complexos. Ex: advogado que usa storytelling jurídico, médico com mitos e verdades, gestor com frases de impacto. Gatilhos como “o que ninguém te conta sobre…” e “não erra mais isso” ajudam a dar tração. O tom deve ser autoritário com leveza e o visual precisa ser adaptado ao tempo de atenção.</t>
  </si>
  <si>
    <t>TIKTOK7</t>
  </si>
  <si>
    <t>Público Espectador Neutro</t>
  </si>
  <si>
    <t>Não cria, não comenta, mas vê tudo. São pessoas que só assistem. Costumam ver vídeos antes de dormir ou nos intervalos do dia. Gostam de conteúdo útil, curioso ou emocional. Raramente seguem, mas assistem vários vídeos do mesmo criador se ele prender no primeiro. Não toleram enrolação nem vídeos com introdução lenta. O tom ideal é direto ao ponto, com thumbnail textual clara já nos primeiros 2 segundos. Conteúdo com frases como “essa dica salvou meu dia” ou “eu testei isso e…” têm alta retenção com esse grupo.</t>
  </si>
  <si>
    <t>LINKEDIN1</t>
  </si>
  <si>
    <t>Profissionais em Ascensão (20–30)</t>
  </si>
  <si>
    <t>São recém-formados ou profissionais iniciando carreira. Estão famintos por validação, crescimento e networking. Acompanham grandes perfis da plataforma, salvam conteúdos de carreira e compartilham frases que mostram “que estão na luta”. Comentam em posts de líderes e sonham em ser vistos. Amam listas, slides com aprendizados, dicas para entrevista, frameworks simples. O tom precisa ser acolhedor, mas com autoridade. Frases como “anota isso pro seu primeiro job” ou “isso muda sua visão de liderança” conectam fácil. Conteúdos que explicam o mercado, ajudam a tomar decisões e geram pertencimento fazem muito sucesso.</t>
  </si>
  <si>
    <t>LINKEDIN2</t>
  </si>
  <si>
    <t>Gestores Técnicos (30–45)</t>
  </si>
  <si>
    <t>TEXTO CURTO</t>
  </si>
  <si>
    <t>Estão entre a operação e a liderança. Querem melhorar processos, liderar melhor e crescer com respeito. Valorizam conteúdo que traz profundidade sem enrolação. Leem textos longos se tiverem estrutura lógica. Compartilham aprendizados reais e insights técnicos. Adoram estudos de caso, frameworks aplicáveis, “o que aprendemos fazendo X”. Preferem tom consultivo, profissional e objetivo. Gatilhos como “Esse erro custou caro” ou “3 formas de destravar seu time” funcionam bem.</t>
  </si>
  <si>
    <t>LINKEDIN3</t>
  </si>
  <si>
    <t>Donos de Negócio (25–55)</t>
  </si>
  <si>
    <t>FORMATOS</t>
  </si>
  <si>
    <t>São empreendedores de micro, pequenas e médias empresas. Estão no LinkedIn mais como observadores do que produtores. Seguem criadores para absorver estratégia e avaliar com quem querem se conectar. Valorizam conteúdo prático sobre gestão, vendas, marketing e cultura. Reagem mais quando sentem que o criador “fala de verdade”. O tom precisa ser sóbrio, direto e com experiência embutida. Print, bastidor e caso real vendem mais do que teoria.</t>
  </si>
  <si>
    <t>LINKEDIN4</t>
  </si>
  <si>
    <t>Especialistas com Autoridade</t>
  </si>
  <si>
    <t>Pessoas que já dominam sua área (TI, RH, Jurídico, Financeiro etc.). Produzem pouco conteúdo, mas valorizam muito quem consegue traduzir temas técnicos em linguagem clara. Compartilham conteúdo para reforçar autoridade. Gatilhos como “mitos e verdades”, “o que ninguém conta”, “descomplicando tal coisa” funcionam bem. O tom ideal é claro, com vocabulário técnico simplificado e visual sóbrio. Formatado em slides ou textos com exemplos reais.</t>
  </si>
  <si>
    <t>LINKEDIN5</t>
  </si>
  <si>
    <t>I19</t>
  </si>
  <si>
    <t>Influenciadores Corporativos</t>
  </si>
  <si>
    <t>Criadores que usam o LinkedIn para manter visibilidade profissional e gerar oportunidade (palestras, mentorias, cargos etc.). Sabem jogar o jogo da plataforma: storytelling bem feito, copy emocional com CTA estratégico, branding pessoal em alta. Consomem posts de outros players, interagem com grandes nomes e valorizam conteúdo com posicionamento firme. O tom ideal é editorial, com opinião bem formada. Gatilhos como “O que aprendi com X anos de experiência” ou “Essa frase mudou minha forma de pensar” são clássicos desse grupo.</t>
  </si>
  <si>
    <t>LINKEDIN6</t>
  </si>
  <si>
    <t>Recrutadores e RH</t>
  </si>
  <si>
    <t>Nome do Cliente</t>
  </si>
  <si>
    <t>Vivem na plataforma, mas em modo de escuta ativa. Valorizam quem se posiciona com clareza, quem conta história com consistência e quem mostra impacto real. Leem perfil, observam postagens, e compartilham conteúdo que humaniza a relação empresa-pessoa. Gostam de temas como liderança empática, cultura, processo seletivo, retenção, comportamento organizacional. O tom ideal é claro, humano e com cases. Slides com storytelling funcionam melhor que textões técnicos.</t>
  </si>
  <si>
    <t>LINKEDIN7</t>
  </si>
  <si>
    <t>Público Espectador Passivo (qualquer cargo)</t>
  </si>
  <si>
    <t>Nunca postam, raramente comentam, mas estão sempre consumindo. São profissionais de todos os níveis que usam o LinkedIn para “se manter informado”. Gostam de conteúdos que explicam o mercado, mostram bastidores reais e falam a verdade sem exageros. Detestam exagero de emoji, texto sensacionalista ou fake motivacional. Salvam posts com frameworks, cases, ou frases que poderiam ser usadas em reuniões. O tom ideal é claro, direto, técnico sem ser arrogante.</t>
  </si>
  <si>
    <t>QUER USAR?</t>
  </si>
  <si>
    <t>POSICIONAMENTO</t>
  </si>
  <si>
    <t>YOUTUBE1</t>
  </si>
  <si>
    <t>Autodidatas Famintos (18–35)</t>
  </si>
  <si>
    <t>Jovens que usam o YouTube como sua verdadeira faculdade. São os que buscam “como fazer”, “como começar”, “como vender”, “como crescer”. Acreditam que o conhecimento está aqui, e assistem vídeos de 10, 20, 30 minutos com papel e caneta. Assistem vídeos completos, pausam para anotar e voltam. Amam vídeos que entregam frameworks, tutoriais com contexto, comparativos práticos e estudos de caso bem contados. O tom precisa ser didático, sem ser infantil. CTA como “baixa esse material”, “testa isso hoje” ou “comenta se você aplicou” funcionam com força.</t>
  </si>
  <si>
    <t>SIM</t>
  </si>
  <si>
    <t>YOUTUBE2</t>
  </si>
  <si>
    <t>Empreendedores em Construção (25–45)</t>
  </si>
  <si>
    <t>Região de Atendimento</t>
  </si>
  <si>
    <t>Pessoas que já abriram um negócio ou estão em transição de carreira. Buscam estratégia, visão de negócio, marketing, vendas, gestão e mentalidade. Consomem creators que mostram bastidor real, falam de problemas e compartilham resultados com números. Gostam de vídeos que falam do mundo real do negócio, sem romantização. Adoram frases como “isso me custou caro” ou “eu faria diferente se tivesse começando agora”. O tom precisa ser objetivo, maduro e técnico, mas com storytelling. Vídeos com casos reais, erros, aprendizados e diagnósticos funcionam muito bem.</t>
  </si>
  <si>
    <t>NÃO</t>
  </si>
  <si>
    <t>YOUTUBE3</t>
  </si>
  <si>
    <t>Modelo de Negócio</t>
  </si>
  <si>
    <t>Profissionais de Carreira (30–55)</t>
  </si>
  <si>
    <t>São gestores, especialistas e executivos que usam o YouTube para se atualizar, aprender algo novo ou entender tendências. Costumam assistir fora do horário de trabalho (à noite ou no final de semana). Preferem vídeos com começo, meio e fim, bem roteirizados e com explicações visuais. Valorizam conteúdo que poupa tempo e entrega clareza. O tom ideal é consultivo, técnico e sério. Prefere vídeos com ilustrações, dashboards, estrutura de raciocínio e frase de impacto pensada. Gatilhos como “Entenda isso antes de tomar essa decisão” funcionam com esse público.</t>
  </si>
  <si>
    <t>YOUTUBE4</t>
  </si>
  <si>
    <t>Curiosos de Oportunidade</t>
  </si>
  <si>
    <t>Setor</t>
  </si>
  <si>
    <t>Pessoas que descobriram um criador por um vídeo específico e começaram a maratonar. Elas não têm uma dor clara, mas querem “achar algo que possa mudar sua vida”. São movidos por vídeos que falam de liberdade, dinheiro, propósito, crise e oportunidade. Se envolvem com vídeos que contam histórias (mesmo de desconhecidos), e respondem bem a títulos provocativos como “ninguém quer falar sobre isso”, “o que os gurus não contam”, “como fulano faturou com X”. O tom ideal é misto: provocador com instrução embutida. Estrutura em storytelling com narrativa crescente funciona muito bem.</t>
  </si>
  <si>
    <t>YOUTUBE5</t>
  </si>
  <si>
    <t>Aposentados &amp; 50+ Aprendizes</t>
  </si>
  <si>
    <t>Produto</t>
  </si>
  <si>
    <t>Adultos acima de 50 anos que usam o YouTube para aprender com calma. Assistem vídeos no computador ou smart TV, valorizam narração pausada, letra grande e passo a passo muito visual. Buscam desde tutoriais práticos até conteúdos sobre saúde, espiritualidade e como fazer renda extra. Gostam de vídeos com títulos objetivos: “Como fazer tal coisa”, “Aprenda a vender X mesmo sem saber usar celular”. O tom ideal é respeitoso, calmo e com instrução literal. O público 50+ assiste até o fim se sentir segurança.</t>
  </si>
  <si>
    <t>YOUTUBE6</t>
  </si>
  <si>
    <t>Criadores e Educadores Visuais</t>
  </si>
  <si>
    <t>Pessoas que usam o YouTube como canal de autoridade. São professores, designers, videomakers, especialistas técnicos que estão aprendendo como transformar seu conhecimento em conteúdo. Assistem para estudar estrutura de vídeo, roteiro, thumbnail, retenção. Salva vídeo com “como criar canal”, “como montar roteiro”, “como vender no final”. O tom precisa ser técnico, com bastidor e explicação tática. Chamadas como “dá play nesse script aqui” ou “usa esse padrão de thumbnail” funcionam com muita precisão.</t>
  </si>
  <si>
    <t>YOUTUBE7</t>
  </si>
  <si>
    <t>Público Espectador Passivo</t>
  </si>
  <si>
    <t>Sazonalidade</t>
  </si>
  <si>
    <t>Não comenta, não curte, mas vê tudo. Assiste vídeos de vários criadores sem seguir nenhum. Costuma cair em vídeos por recomendação, autoplay ou pesquisa. Gosta de vídeos que prendem rápido e entregam logo a promessa. Não tolera introdução lenta nem enrolação. Se você entrega um bom gancho em até 15 segundos, ele assiste até o fim. Prefere vídeos com títulos como “Não faça isso sem ver isso antes” ou “5 erros que custam caro”. O tom precisa ser direto ao ponto, com impacto imediato e benefício explícito desde o início.</t>
  </si>
  <si>
    <t>BLOG1</t>
  </si>
  <si>
    <t>Buscador de Soluções Práticas (25–50)</t>
  </si>
  <si>
    <t>É o visitante mais comum do blog. Ele chega por uma dor ou dúvida real: “como resolver tal coisa”, “o que significa X”, “como fazer tal tarefa”. Entra por Google, lê só o que interessa, e fecha rápido se não encontrar a resposta em 5 segundos. Gosta de tópicos, bullet points, parágrafos curtos e tutoriais. Detesta floreio. O tom ideal é direto, técnico e útil. Quer passo a passo, print, modelo. Gatilhos como “entenda em 3 minutos” ou “resolva isso agora” funcionam. Esse público consome, aplica, e só depois decide seguir ou virar lead.</t>
  </si>
  <si>
    <t>Tom de Voz</t>
  </si>
  <si>
    <t>BLOG2</t>
  </si>
  <si>
    <t>Pesquisador Profundo / Técnico (30+)</t>
  </si>
  <si>
    <t>Profissionais que estudam sobre uma dor técnica, tese de mercado ou solução complexa. Passam mais tempo no conteúdo e leem vários artigos antes de tomar uma decisão. Buscam precisão, estatísticas, fontes confiáveis e estrutura de pensamento. Se engajam com artigos mais densos, materiais com bibliografia, whitepapers e estudos de caso. O tom precisa ser consultivo e inteligente. Esse público salva links, imprime PDF e compartilha internamente com times. Ideal para estratégias de marketing B2B.</t>
  </si>
  <si>
    <t>BLOG3</t>
  </si>
  <si>
    <t>Curioso de Tendência (20–40)</t>
  </si>
  <si>
    <t>Nível de Linguagem</t>
  </si>
  <si>
    <t>Gosta de estar por dentro do que está acontecendo. Entra em blogs por manchetes como “tudo sobre X”, “o que esperar de Y”, “por que Z está bombando”. Valoriza conteúdo opinativo com contexto. Gosta de artigos com comparativos, listas e previsão de tendências. O tom ideal é editorial, provocador e bem estruturado. Compartilha com amigos ou colegas. Reage a frases como “você ainda vai ouvir falar muito disso” ou “ninguém tá falando sobre isso, mas devia”. É ótimo público para gerar buzz e topo de funil.</t>
  </si>
  <si>
    <t>BLOG4</t>
  </si>
  <si>
    <t>Estudante de Carreira ou Negócio (18–35)</t>
  </si>
  <si>
    <t>Usa o blog como uma forma de aprender, entender o mercado e pegar atalhos. Está pesquisando faculdade, carreira, profissão, ou tentando começar a empreender. Lê artigos como “5 formas de ganhar dinheiro com X”, “melhores ferramentas para começar em Y”. Ama listas, guias definitivos, artigos tipo "tudo sobre". O tom ideal é amigável, motivacional e com clareza. Gatilhos como “comece hoje com pouco” ou “isso ninguém te ensina na faculdade” funcionam. Se o conteúdo for útil, vira lead.</t>
  </si>
  <si>
    <t>Sentimento do Público com Conteúdo</t>
  </si>
  <si>
    <t>BLOG5</t>
  </si>
  <si>
    <t>Público SEO Educado (25–45)</t>
  </si>
  <si>
    <t>É um leitor que já entende o jogo. Chega por busca e sabe distinguir conteúdo de qualidade. Costuma rolar até o final, clica em links internos, lê com senso crítico. Valoriza artigos atualizados, com fonte, dados reais e que não sejam genéricos. O tom deve ser técnico sem ser robótico. Ama “guia definitivo”, “como funciona X em 2024”, “comparativo prático entre X e Y”. Perfeito para ranquear palavras-chave de fundo de funil. Se você ganha a confiança, vira lead qualificado.</t>
  </si>
  <si>
    <t>BLOG6</t>
  </si>
  <si>
    <t>Conteúdos por Mês</t>
  </si>
  <si>
    <t>Cliente em Decisão de Compra (30–60)</t>
  </si>
  <si>
    <t>Esse público chega com intenção real. Está prestes a comprar ou contratar. Lê páginas como “vale a pena?”, “funciona mesmo?”, “review do produto”, “como escolher X”. Busca clareza, comparativos e transparência. Se o blog mostrar autoridade, quebra objeções e reforça benefícios, ele converte. O tom ideal é confiável, racional e lógico. Artigos com provas, depoimentos, respostas a dúvidas comuns e tabelas funcionam melhor que elogios.</t>
  </si>
  <si>
    <t>BLOG7</t>
  </si>
  <si>
    <t>Leitor por Recomendação (qualquer idade)</t>
  </si>
  <si>
    <t>Expressões Chave</t>
  </si>
  <si>
    <t>Chegou porque alguém mandou o link. Não está em busca ativa, mas topou o conteúdo por curiosidade. Lê com menor profundidade, mas se prender nos 10 primeiros segundos, pode consumir tudo. Prefere textos com storytelling, opinião e impacto. Esse público compartilha se se sentir representado. Gatilhos como “você já passou por isso?” ou “entenda esse ponto antes que seja tarde” funcionam bem. Ideal para artigos compartilháveis e tráfego social.</t>
  </si>
  <si>
    <t>EMAIL1</t>
  </si>
  <si>
    <t>EMAIL2</t>
  </si>
  <si>
    <t>EMAIL3</t>
  </si>
  <si>
    <t>Palavra Chave</t>
  </si>
  <si>
    <t>EMAIL4</t>
  </si>
  <si>
    <t>EMAIL5</t>
  </si>
  <si>
    <t>EMAIL6</t>
  </si>
  <si>
    <t>Categoria 1</t>
  </si>
  <si>
    <t>EMAIL7</t>
  </si>
  <si>
    <t>LINHA EDITORIAL</t>
  </si>
  <si>
    <t>B2</t>
  </si>
  <si>
    <t>Categoria 2</t>
  </si>
  <si>
    <t>C2</t>
  </si>
  <si>
    <t>Categoria 3</t>
  </si>
  <si>
    <t>D2</t>
  </si>
  <si>
    <t>Categoria 1 Pilar 1</t>
  </si>
  <si>
    <t>FORMATO</t>
  </si>
  <si>
    <t>Categoria 1 Pilar 2</t>
  </si>
  <si>
    <t>NOME DO FORMATO</t>
  </si>
  <si>
    <t>VÍDEOS CURTOS1</t>
  </si>
  <si>
    <t>Lista Direta</t>
  </si>
  <si>
    <t>B4</t>
  </si>
  <si>
    <t xml:space="preserve">Descrição Completa:
Você aparece falando diretamente para a câmera, entregando uma lista objetiva com um número pequeno de dicas, erros ou aprendizados. Usa frases curtas e ritmadas, com cortes secos entre os pontos. É um formato educativo, de alto valor percebido e ideal para mostrar domínio técnico.
Por que funciona:
Listas geram curiosidade e são fáceis de consumir. A quebra visual entre os pontos mantém a atenção. É altamente salvável, compartilhável e fortalece sua autoridade.
Como fazer:
Defina um tema de dor comum do seu público.
Liste 3 a 5 tópicos com começo, meio e fim.
Grave com cortes entre os pontos (pode mudar cenário ou ângulo).
Use legenda em ritmo, destacando números e palavras fortes.
Finalize com provocação ou CTA ("qual desses mais te pega?").
</t>
  </si>
  <si>
    <t>VÍDEOS CURTOS2</t>
  </si>
  <si>
    <t>Categoria 1 Pilar 3</t>
  </si>
  <si>
    <t>POV com Legenda</t>
  </si>
  <si>
    <t>B5</t>
  </si>
  <si>
    <t>Descrição Completa:
Você simula uma situação comum, sem necessariamente falar. O conteúdo se apoia em expressões e gestos, enquanto as legendas conduzem a narrativa com uma mensagem de identificação ou crítica. Pode ser engraçado, irônico ou dramático.
Por que funciona:
Gera empatia imediata com quem vive a mesma situação. É leve, visual, rápido e emocionalmente engajante. Tem alto potencial de viralização por ser fácil de comentar e compartilhar.
Como fazer:
Pense em um momento recorrente no seu dia ou no cliente.
Grave um trecho curto (5–10s) com expressão corporal clara.
Escreva legendas que contam a cena como uma história em frases curtas.
Use trilha sonora popular ou irônica.
Finalize com um comentário ou ironia sutil na última legenda.</t>
  </si>
  <si>
    <t>VÍDEOS CURTOS3</t>
  </si>
  <si>
    <t>Categoria 2 Pilar 1</t>
  </si>
  <si>
    <t>Cortes</t>
  </si>
  <si>
    <t xml:space="preserve">Descrição Completa:
Recorte de um momento espontâneo com conteúdo real: mentoria, reunião, podcast, call. Você não grava “para o vídeo”, mas extrai trechos onde uma ideia é dita com intensidade ou clareza. É ideal para demonstrar profundidade e autenticidade.
Por que funciona:
Mostra bastidor intelectual. Valida sua expertise sem esforço de roteiro. Quando bem legendado, transmite autoridade e confiança.
Como fazer:
Grave longos conteúdos seus (aulas, reuniões, mentorias).
Identifique falas fortes ou trechos que respondem uma dúvida real.
Corte entre 20 e 60 segundos.
Legende com destaque no impacto da fala.
Insira moldura ou identidade visual leve, se for podcast.
</t>
  </si>
  <si>
    <t>VÍDEOS CURTOS4</t>
  </si>
  <si>
    <t>Bastidor com Narração ou Texto</t>
  </si>
  <si>
    <t>Categoria 2 Pilar 2</t>
  </si>
  <si>
    <t>Descrição Completa:
Mostra o que acontece nos bastidores da operação: produção, atendimento, processos, montagem de algo, entrega etc. Pode ser filmado em silêncio e ter uma narração ou legenda contando o contexto. É o formato que mostra que “a empresa existe de verdade”.
Por que funciona:
Cria confiança. Tira o público do campo da promessa e o leva para a realidade. É forte para negócios físicos, serviços locais e empresas que têm operação ativa.
Como fazer:
Capture cenas reais do dia (sem posar).
Edite em ritmo natural (sem cortes exagerados).
Escreva texto contando o que está acontecendo ou reflexionando sobre o momento.
Adicione narração ou legenda.
Finalize com um valor por trás daquilo (“é por isso que o cliente volta”).</t>
  </si>
  <si>
    <t>VÍDEOS CURTOS5</t>
  </si>
  <si>
    <t>Green Screen</t>
  </si>
  <si>
    <t>C4</t>
  </si>
  <si>
    <t>Descrição Completa:
Você aparece na frente de uma imagem, site ou print usando o recurso de tela verde. Comenta algo sobre aquilo (ex: print de resultado, notícia, conversa, print de anúncio). Pode rebater algo ou explicar um conceito.
Por que funciona:
É visualmente diferente. Conecta conteúdo externo com sua visão. E ainda valida seu repertório ou autoridade.
Como fazer:
Escolha um conteúdo visual (print, gráfico, tweet, headline).
Use recurso de green screen do TikTok ou CapCut.
Grave-se na frente do material explicando ou opinando.
Use pausas, olhe para a imagem, envolva o público.
Finalize com sua conclusão, crítica ou recomendação.</t>
  </si>
  <si>
    <t>VÍDEOS CURTOS6</t>
  </si>
  <si>
    <t>Fala Direta</t>
  </si>
  <si>
    <t>Categoria 2 Pilar 3</t>
  </si>
  <si>
    <t xml:space="preserve">Descrição Completa:
Você olha direto para a câmera, com tom de conversa. Sem cortes ou com cortes leves. A ideia é parecer que está abrindo um assunto com quem assiste, como se estivesse em chamada de vídeo.
Por que funciona:
Passa verdade, urgência e emoção. É um dos formatos com maior conexão e retenção quando a fala é forte.
Como fazer:
Comece com uma quebra (“Deixa eu te contar uma coisa...”).
Grave com o celular na altura dos olhos, com luz natural.
Use fala ritmada, clara e sem leitura.
Deixe a emoção transparecer (raiva, empolgação, frustração...).
Finalize com uma pergunta ou frase tipo “e ninguém fala disso”.
</t>
  </si>
  <si>
    <t>VÍDEOS CURTOS7</t>
  </si>
  <si>
    <t>Primeira Pessoa</t>
  </si>
  <si>
    <t>C5</t>
  </si>
  <si>
    <t xml:space="preserve">Descrição Completa:
Mostra a perspectiva do operador: a câmera mostra o que ele está vendo e fazendo. A mão aparece, o cenário se move com você. Ideal para mostrar processo, execução ou bastidores de forma imersiva.
Por que funciona:
Coloca o espectador “no seu lugar”. Gera sensação de proximidade, realismo e verdade. Dá vida à operação.
Como fazer:
Use celular na mão ou suporte no peito/testa.
Grave a ação com movimento fluido (caminhar, montar, atender, criar).
Escreva legenda explicando ou adicione narração.
Foque nos detalhes: mãos, ferramentas, ações.
Finalize com transição para o resultado final ou valor entregue.
</t>
  </si>
  <si>
    <t>VÍDEOS LONGOS1</t>
  </si>
  <si>
    <t>Aula Prática</t>
  </si>
  <si>
    <t>Categoria 3 Pilar 1</t>
  </si>
  <si>
    <t>Descrição Completa:
Um vídeo ensinando algo de forma direta, com foco em resolver uma dor específica. Ex: “Como calcular o custo de um produto”, “Como melhorar sua copy de anúncio”, “Como organizar sua agenda”. Pode ter slides, tela gravada ou lousa.
Por que funciona:
Entrega valor real e cria reciprocidade. Posiciona o criador como especialista e desperta desejo de seguir ou comprar algo mais profundo.
Como fazer:
Escolha um problema real do seu público.
Faça um roteiro com começo (dor), meio (processo) e fim (solução).
Use tela gravada, lousa ou apresentação simples.
Grave com explicações claras, sem enrolar.
Finalize reforçando o antes e depois da solução.</t>
  </si>
  <si>
    <t>VÍDEOS LONGOS2</t>
  </si>
  <si>
    <t>React</t>
  </si>
  <si>
    <t xml:space="preserve">Descrição Completa:
Você reage a um conteúdo externo (vídeo, print, anúncio, entrevista, notícia) e comenta com sua visão estratégica. Mas diferente de uma reação rasa, você aprofunda na lógica por trás.
Por que funciona:
Conecta com tendências, mostra visão crítica e educa ao mesmo tempo. Funciona em qualquer nicho, adaptando o material analisado.
Como fazer:
Escolha um conteúdo popular ou que viralizou.
Reaja em tempo real com sua câmera ativada.
Pause em momentos estratégicos para analisar com profundidade.
Aponte acertos, erros, insights ou o que faria diferente.
Finalize com um resumo prático para quem assistiu.
</t>
  </si>
  <si>
    <t>VÍDEOS LONGOS3</t>
  </si>
  <si>
    <t>Estudo de Caso</t>
  </si>
  <si>
    <t>PROMPT</t>
  </si>
  <si>
    <t>Categoria 3 Pilar 2</t>
  </si>
  <si>
    <t>Descrição Completa:
Você apresenta a história de um cliente, projeto, campanha ou processo que deu certo (ou errado). Mostra contexto, desafio, execução e resultado. Pode ser narrado com slides, tela ou com você no vídeo.
Por que funciona:
Valida seu trabalho de forma natural e educativa. Ao invés de se vender, você mostra resultado na prática. Ideal para criar desejo pelo serviço/produto.
Como fazer:
Escolha um caso real e documentado.
Apresente o antes (problema real) &gt; durante (decisões) &gt; depois (resultado).
Use prints, números, fotos e provas visuais.
Grave narrando por cima ou apresentando como uma aula.
Finalize com uma moral clara (“o que aprendemos com isso?”).</t>
  </si>
  <si>
    <t>APENAS COPIE O CAMPO DO QUE VOCÊ QUER</t>
  </si>
  <si>
    <t>VÍDEOS LONGOS4</t>
  </si>
  <si>
    <t>Vídeo Essay</t>
  </si>
  <si>
    <t>LINHA DA SEMANA</t>
  </si>
  <si>
    <t>D4</t>
  </si>
  <si>
    <t>Descrição Completa:
Um vídeo longo com estrutura narrativa forte, onde você conta uma história real — sua, da empresa, de um cliente ou de um momento marcante. Pode ser emocional, inspirador, provocativo ou até dramático. O foco é construir vínculo e admiração pela trajetória, pela visão ou pela virada de chave apresentada.
Por que funciona:
Porque as pessoas não se conectam com produtos — se conectam com histórias. Esse formato cria profundidade de marca, mostra os bastidores emocionais do crescimento e posiciona você como alguém que vive o que ensina. Funciona para branding, para construir comunidade, ou para preparar vendas de produtos mais caros e densos.
Como fazer:
Escolha uma história real com tensão ou transformação (ex: quase faliu, perdeu um cliente, virou o jogo, foi rejeitado, fez uma aposta ousada).
Escreva o roteiro com uma linha do tempo simples:
Introdução (o que estava em jogo)
Conflito (o que aconteceu)
Virada (como resolveu)
Reflexão final (o que aprendeu com isso)</t>
  </si>
  <si>
    <t>VÍDEOS LONGOS5</t>
  </si>
  <si>
    <t>Categoria 3 Pilar 3</t>
  </si>
  <si>
    <t xml:space="preserve">Vlog </t>
  </si>
  <si>
    <t>Descrição Completa:
Registro da rotina profissional, com trechos reais do dia e comentários sobre o que está acontecendo. Pode mostrar reuniões, bastidores, tomada de decisões ou interações com equipe/clientes, sempre com uma camada de explicação do porquê aquilo importa.
Por que funciona:
Aproxima, humaniza e mostra os bastidores do pensamento estratégico. É autoridade + vulnerabilidade na medida certa. Quando feito com frequência, vira uma série que cria vínculo com o público.
Como fazer:
Grave trechos do dia com o celular na mão ou tripé (sem perfeccionismo).
Mostre algo acontecendo (reunião, viagem, brainstorm, call com cliente).
Intercale com comentários diretos olhando pra câmera explicando decisões ou insights do momento.
Finalize com uma conclusão: o que aprendeu naquele dia ou uma provocação pro seguidor.</t>
  </si>
  <si>
    <t>VÍDEOS LONGOS6</t>
  </si>
  <si>
    <t>Entrevista ou Podcast</t>
  </si>
  <si>
    <t>D5</t>
  </si>
  <si>
    <t>Descrição Completa:
Conteúdo em formato de conversa entre duas ou mais pessoas, com foco em compartilhar experiências, pontos de vista, histórias ou soluções sobre um tema relevante. Pode ser no estilo mesa redonda, entrevista 1:1 ou até uma live gravada.
Por que funciona:
Cria conexão imediata com a audiência pela fluidez da conversa e posiciona o host como alguém com boas perguntas e bons contatos. Além disso, o convidado naturalmente compartilha o conteúdo, ampliando o alcance.
Como fazer:
Escolha um convidado com experiência ou visão sobre um tema de interesse do público.
Estruture blocos de perguntas ou tópicos, mas mantenha espaço para improviso.
Grave com dois ângulos (ou apenas um, se for remoto ou simples).
Se possível, extraia cortes curtos para usar como vídeos menores.
Use o nome do convidado ou tema como gancho no título:
“Como [Fulano] fez R$ 10 milhões com [tema]”
“Por que ele largou tudo para abrir um negócio digital”
Dica Extra:
Mesmo que o convidado não seja famoso, uma boa história + boas perguntas transformam o conteúdo em algo altamente compartilhável.</t>
  </si>
  <si>
    <t>Categoria 1 Pilar 1 Tema 1</t>
  </si>
  <si>
    <t>VÍDEOS LONGOS7</t>
  </si>
  <si>
    <t>Review</t>
  </si>
  <si>
    <t>B9</t>
  </si>
  <si>
    <t xml:space="preserve">Descrição Completa:
Você analisa um produto, serviço, ferramenta ou até campanha/publicação — destacando os pontos positivos, negativos e aplicabilidade. Pode ser uma resenha de algo que você usou, comprou, testou ou apenas estudou a fundo.
Por que funciona:
É extremamente útil, gera busca orgânica (SEO), cria autoridade de quem “entende do assunto” e pode converter diretamente (quando tem relação com algo que você vende, indica ou aplica). Review bem feito também atrai comentários e engajamento com quem já usou ou quer usar aquilo.
Como fazer:
Escolha algo que seu público esteja curioso ou precisando decidir (ex: “Plataforma X vale a pena?”, “Testamos o novo criador de landing pages”, “Review do curso de marketing Y”).
Divida em tópicos: experiência de uso, pontos fortes, pontos fracos, para quem vale a pena, nota final ou conclusão.
Mostre imagens ou tela do produto real (ou simulações visuais).
Seja honesto e direto. Review tendencioso perde a força.
Finalize com uma opinião bem embasada, tipo:
“Se você está começando, não recomendo. Mas se já tem cliente e precisa escalar, faz sentido.”
</t>
  </si>
  <si>
    <t>IMAGEM ÚNICA1</t>
  </si>
  <si>
    <t>Categoria 1 Pilar 1 Tema 2</t>
  </si>
  <si>
    <t>Frase ou Citação</t>
  </si>
  <si>
    <t>O que é:
Uma imagem com uma frase que expressa claramente o que a marca acredita, ensina ou provoca. Pode vir de um autor conhecido, do próprio fundador, de um cliente ou até de um conceito popular adaptado.
Por que funciona:
Frases bem escolhidas funcionam como âncoras mentais. Elas são salvas, compartilhadas e rapidamente absorvidas. Em uma imagem, viram lembretes visuais do seu posicionamento. O objetivo aqui não é ser bonito, é ser memorável.
Como fazer:
Escolha frases que tenham conflito, contradição, coragem ou clareza.
Use tipografia impactante e um fundo limpo ou que complemente a frase.
Evite clichês do tipo “Acredite nos seus sonhos” — vá para “Se você precisa acreditar, ainda não começou”.
Legendas fortes complementam o efeito.
Dica estratégica:
Uma frase pode atrair seguidores certos e repelir os errados. Use como filtro de audiência.</t>
  </si>
  <si>
    <t>IMAGEM ÚNICA2</t>
  </si>
  <si>
    <t>B10</t>
  </si>
  <si>
    <t>O que é:
Divisão visual entre dois estados — o problema e a solução, o velho e o novo, o amador e o profissional. Não precisa ser apenas foto: pode ser texto, números ou mentalidade.
Por que funciona:
A mente humana adora contraste. Esse formato gera comparação imediata e, se feito certo, a pessoa pensa: “quero sair do lado A e ir para o B”.
Como fazer:
Estruture a imagem com divisão clara (vertical ou horizontal).
Mostre um contraste gritante (design, faturamento, comportamento, etc).
Use palavras curtas e diretas em cada lado.
Pode até ser subjetivo, desde que a transformação seja evidente.
Dica estratégica:
Você vende transformação? Esse formato não pode faltar no seu feed.</t>
  </si>
  <si>
    <t>IMAGEM ÚNICA3</t>
  </si>
  <si>
    <t>Categoria 1 Pilar 1 Tema 3</t>
  </si>
  <si>
    <t>Certo e Errado</t>
  </si>
  <si>
    <t xml:space="preserve">O que é:
Comparação binária que apresenta um erro comum ou pensamento limitado e, do outro lado, a mentalidade correta ou estratégia superior.
Por que funciona:
Esse tipo de imagem instiga debate, desafia o público e reforça sua posição como especialista. Ao mesmo tempo que educa, polariza. E polarização bem feita gera autoridade.
Como fazer:
Use um layout dividido, com uma cor para cada lado.
No “Errado”, traga o que as pessoas costumam fazer. No “Certo”, o que você acredita e propõe.
Foque em crenças e práticas — não em atacar concorrentes ou indivíduos.
Pode ser usado com humor ou provocação.
Dica estratégica:
É um dos formatos mais salváveis e comentados — e serve tanto para educação quanto para gerar lead.
</t>
  </si>
  <si>
    <t>IMAGEM ÚNICA4</t>
  </si>
  <si>
    <t>Infográfico</t>
  </si>
  <si>
    <t>Categoria 1 Pilar 2 Tema 1</t>
  </si>
  <si>
    <t xml:space="preserve">O que é:
Representação gráfica de um conteúdo lógico, como uma pirâmide de hierarquia, um fluxograma, um passo a passo, uma matriz ou mesmo um mapa mental.
Por que funciona:
Facilita o entendimento de conceitos complexos com um único olhar. É educativo, autoral e salva muito tempo do público. Vira print e salva fácil.
Como fazer:
Construa com base em uma lógica interna (ex: “3 pilares”, “4 erros”, “5 níveis”).
Use ícones, flechas e separações visuais simples.
Mantenha espaço em branco e organização limpa.
Título claro + destaque nas palavras-chave.
Dica estratégica:
Ideal para ensinar frameworks, modelos mentais e processos. Use com consistência para virar referência.
</t>
  </si>
  <si>
    <t>IMAGEM ÚNICA5</t>
  </si>
  <si>
    <t>Foto ( Bastidor, Produto, Storytelling )</t>
  </si>
  <si>
    <t>C9</t>
  </si>
  <si>
    <t>O que é:
Uma imagem real que representa mais do que mostra. Pode ser um momento de bastidor, uma imagem de produto em uso ou uma foto pessoal com contexto emocional ou simbólico.
Por que funciona:
Cria proximidade. Mostra que há verdade por trás da marca. As pessoas compram de quem confiam — e essa é uma das formas mais eficazes de gerar conexão rápida.
Como fazer:
Capture a cena com autenticidade (não precisa ser perfeita).
Escolha um momento que tenha um valor simbólico (ex: “primeira venda”, “despedida do escritório”, “novo rótulo”, “virada do mês”).
A legenda é parte essencial: conte o que não está na imagem.
Pode usar filtros leves ou estilo documental.
Dica estratégica:
Toda marca precisa de “alma”. Esse formato entrega isso. Pode funcionar como ritual de conteúdo semanal.</t>
  </si>
  <si>
    <t>IMAGEM ÚNICA6</t>
  </si>
  <si>
    <t>Categoria 1 Pilar 2 Tema 2</t>
  </si>
  <si>
    <t>Framework ou Receita</t>
  </si>
  <si>
    <t xml:space="preserve">O que é:
Representação visual de uma ideia proprietária da marca — uma sigla, um método, uma teoria, uma sequência lógica. Pode ser técnica ou inspiracional, desde que tenha uma estrutura clara.
Por que funciona:
Gera autoridade imediatamente. Você se diferencia porque mostra que tem um jeito próprio de pensar ou resolver algo. É um conteúdo salvável, referenciado e até citado por outros.
Como fazer:
Crie um nome (sigla, verbo, conceito) e associe a ele um conjunto de passos.
Coloque isso em formato visual com ícones, blocos ou camadas.
Título forte e identificação clara (ex: “Método XYZ – 3 etapas para escalar com previsibilidade”).
Pode vir com explicação na legenda ou em série.
Dica estratégica:
Frameworks viram ativos de marca. Se tiver um bom, repita com frequência até o mercado associar a você.
</t>
  </si>
  <si>
    <t>IMAGEM ÚNICA7</t>
  </si>
  <si>
    <t>C10</t>
  </si>
  <si>
    <t>Lista Visual (Ranking, Etapas ou Recomendações)</t>
  </si>
  <si>
    <t xml:space="preserve">O que é:
Uma imagem que traz uma sequência de itens — do tipo “3 ferramentas”, “5 ideias”, “4 etapas”, “7 erros” — organizada de forma escaneável e direta.
Por que funciona:
Listas são fáceis de consumir e satisfazem o cérebro humano que gosta de previsibilidade e controle. Também são altamente compartilháveis e salvas.
Como fazer:
Use de 3 a 7 itens (número ímpar funciona melhor).
Destaque visualmente os números, bullets ou ícones.
Mantenha fonte legível e estrutura de fácil escaneamento.
Pode ser apenas texto ou misturar com ilustração leve.
Dica estratégica:
Funciona como “isca de valor”. Ideal para atrair seguidores certos e gerar autoridade por curadoria.
</t>
  </si>
  <si>
    <t>Categoria 1 Pilar 2 Tema 3</t>
  </si>
  <si>
    <t>CARROSSEL1</t>
  </si>
  <si>
    <t>Transformação</t>
  </si>
  <si>
    <t xml:space="preserve">O que é:
Formato que mostra uma jornada — pode ser de uma pessoa, empresa, projeto, mentalidade, processo ou resultado. Vai do ponto A ao ponto B usando storytelling visual.
Por que funciona:
Conecta emocionalmente e comprova valor com base em evidência. Storytelling vende — e um carrossel permite mostrar isso passo a passo.
Como fazer:
Slide 1: “Veja o que aconteceu com…”
Slide 2: o problema original
Slide 3: o plano ou estratégia
Slide 4–5: a execução ou mudança
Slide 6: resultado
Slide 7: aprendizado ou CTA
Dica estratégica:
Esse é o carrossel ideal para cases, provas sociais e bastidores de bastidores.
</t>
  </si>
  <si>
    <t>CARROSSEL2</t>
  </si>
  <si>
    <t>Passo a Passo</t>
  </si>
  <si>
    <t>O que é:
Conteúdo que ensina uma ação prática em sequência lógica. Pode ser um processo, tutorial, técnica, rotina, checklist etc.
Por que funciona:
Entrega valor imediato. Quanto mais simples e aplicável, mais o público salva e volta para usar depois.
Como fazer:
Slide 1: “Como fazer X em 5 passos”
Slides 2 a 6: 1 passo por slide, com visual de apoio (ícones, imagens, setas)
Slide final: resultado esperado ou CTA
Dica estratégica:
Funciona especialmente bem para marcas que vendem serviços ou produtos com aplicação prática (ex: software, consultoria, infoproduto).</t>
  </si>
  <si>
    <t>Categoria 1 Pilar 3 Tema 1</t>
  </si>
  <si>
    <t>CARROSSEL3</t>
  </si>
  <si>
    <t>Quebra de Mito</t>
  </si>
  <si>
    <t>O que é:
Desconstrução de um conceito ou crença popular com embasamento e posicionamento. Tem um início polêmico e termina com uma nova perspectiva.
Por que funciona:
A provocação gera curiosidade e o contraditório ativa o instinto de sobrevivência social. Ao quebrar mitos, você se posiciona como voz confiável.
Como fazer:
Slide 1: “Mentiram para você sobre…”
Slide 2–3: o mito e onde ele surgiu
Slide 4–5: o que é verdade
Slide 6: novo caminho ou insight
Slide 7: convite para ação
Dica estratégica:
Evite atacar pessoas ou empresas. Mire na ideia errada — e depois, substitua com algo superior.</t>
  </si>
  <si>
    <t>D9</t>
  </si>
  <si>
    <t>CARROSSEL4</t>
  </si>
  <si>
    <t>Curadoria</t>
  </si>
  <si>
    <t>Categoria 1 Pilar 3 Tema 2</t>
  </si>
  <si>
    <t>O que é:
Apresentação de uma lista de ferramentas, livros, posts, hábitos, estratégias, marcas ou referências úteis.
Por que funciona:
Posiciona você como fonte confiável e economiza tempo do público. Além disso, estimula compartilhamento (quem consome, compartilha para amigos).
Como fazer:
Slide 1: “5 ferramentas que uso para…”
Slides seguintes: cada slide com o nome + descrição + imagem ilustrativa
Slide final: convite para salvar ou comentar
Dica estratégica:
Use para mostrar repertório. Ótimo para engajamento sem precisar de criatividade infinita.</t>
  </si>
  <si>
    <t>CARROSSEL5</t>
  </si>
  <si>
    <t>Punch</t>
  </si>
  <si>
    <t>O que é:
Um carrossel iniciado por um slide provocador (opinião forte, frase de impacto ou pergunta estratégica) seguido por desdobramentos que sustentam essa tese com argumentos, analogias ou metáforas.
Por que funciona:
É direto, prende atenção desde o primeiro slide e conduz a leitura com fluidez. É o carrossel mais adaptável a qualquer mercado — pois parte de uma frase magnética e a desenvolve.
Como fazer:
Slide 1: frase provocadora ou promissora (“A maioria das empresas não precisa de tráfego pago”)
Slides 2 a 5: ampliação do raciocínio, dados ou storytelling
Slide 6: reforço da ideia
Slide 7: fechamento com posicionamento ou convite à ação
Dica estratégica:
Use frases reais que você já disse em aula, consultoria ou reunião. Funciona bem como distribuição de ideias fortes do fundador.</t>
  </si>
  <si>
    <t>D10</t>
  </si>
  <si>
    <t>CARROSSEL6</t>
  </si>
  <si>
    <t>Manifesto</t>
  </si>
  <si>
    <t>PESQUISA GEMINI</t>
  </si>
  <si>
    <t>Categoria 1 Pilar 3 Tema 3</t>
  </si>
  <si>
    <t>O que é:
Um carrossel que declara com firmeza o que a marca acredita, rejeita ou defende. Ele apresenta uma visão de mundo que vai além do produto — uma causa, um estilo de pensar ou uma forma de fazer que posiciona a marca de forma clara e autêntica.
Por que funciona:
Conecta com as pessoas no nível de valores, não só de interesse. Ajuda a criar identificação emocional, reconhecimento da marca e reforça a autoridade de quem comunica.
É o tipo de conteúdo que as pessoas compartilham para se expressar.
Como fazer:
Slide 1: Frase que introduz o manifesto (“Se você também pensa diferente, essa mensagem é pra você.”)
Slides 2 a 6: Frases curtas que expressam os pilares da sua visão (ex: “A gente valoriza quem começa com pouco.”, “Rejeitamos atalhos fáceis.”, “Acreditamos em clareza antes de velocidade.”)
Slide 7: Fechamento com assinatura da marca, slogan ou chamada à ação sutil (“Se isso faz sentido pra você, bem-vindo à comunidade.”)
Dica estratégica:
Evite falar sobre produto. Fale sobre atitude, escolha, visão, comportamento. Serve para qualquer negócio que queira ser lembrado por mais do que vende — mas pelo que representa.</t>
  </si>
  <si>
    <t>CARROSSEL7</t>
  </si>
  <si>
    <t>Timeline</t>
  </si>
  <si>
    <t>O que é:
Um carrossel que mostra a evolução de algo ao longo do tempo: pode ser a trajetória da empresa, de um cliente, de um processo, ou até da mentalidade do mercado.
Por que funciona:
As pessoas gostam de ver progresso. Reforça autoridade e prova que houve crescimento com consistência — ideal para criar confiança.
Como fazer:
Slide 1: “Como saímos de X para Y em 2 anos”
Slides 2–6: cada slide representa um marco temporal com o que mudou e o que foi aprendido
Slide 7: Fechamento com insight final ou CTA
Dica estratégica:
Funciona muito bem pra mostrar a evolução de um serviço, um time ou um resultado repetível.</t>
  </si>
  <si>
    <t>STORY1</t>
  </si>
  <si>
    <t>Bastidor Imediato</t>
  </si>
  <si>
    <t>Categoria 2 Pilar 1 Tema 1</t>
  </si>
  <si>
    <t>O que é:
Captura espontânea do que está acontecendo no momento — seja uma reunião, produção, embalagem, atendimento ou rotina.
Por que funciona:
Transmite autenticidade, mostra que há pessoas reais por trás da marca e aproxima o público da operação.
Como fazer:
Abra a câmera do celular e filme/registre algo acontecendo agora. Pode ser com narração espontânea ou legenda rápida (“Hoje estamos embalando os pedidos da Black Friday”).
Dica:
Use sem filtros pesados. Quanto mais real parecer, melhor. É o que diferencia dos posts do feed.</t>
  </si>
  <si>
    <t>STORY2</t>
  </si>
  <si>
    <t>Caixinha Interativa</t>
  </si>
  <si>
    <t>( EMPRESA ) = X
( CIDADE ) = X
Kick Off do cliente está anexado
Você é um analista sênior de mercado, SEO e comportamento do consumidor. Sua missão é conduzir uma análise completa da empresa abaixo, dividida nas seguintes etapas estratégicas:
---
### ETAPA 1 – Diagnóstico da Empresa
1. Encontre e valide o site oficial da (EMPRESA).  
2. Identifique as redes sociais ativas (Instagram, LinkedIn, Facebook, YouTube etc).  
3. Liste os produtos ou serviços oferecidos, com descrições e diferenciais.  
4. Analise o público-alvo atual com base na comunicação da marca.  
5. Avalie a presença digital: design, copy, consistência visual, clareza da proposta.  
6. Traga dados de mercado sobre o segmento da empresa e o contexto da (CIDADE).  
7. Identifique o momento da empresa (expansão, crise, transição etc).
---
### ETAPA 2 – Concorrência Direta e Posicionamento
1. Liste ao menos 5 concorrentes relevantes (locais ou nacionais).  
2. Descreva o posicionamento de cada um: promessa central, tom de voz, diferenciais.  
3. Aponte forças e fraquezas de cada concorrente frente à (EMPRESA).  
4. Identifique oportunidades de diferenciação reais.  
5. Extraia palavras-chave que os concorrentes usam com frequência (em anúncios, site, SEO).
---
### ETAPA 3 – Análise Psicográfica Profunda do Público
**INPUTS:**
- Avatar = “[INSIRA AQUI QUEM É O PÚBLICO ALVO COM BASE NA COMUNICAÇÃO DA EMPRESA]”  
- Dor = “[INSIRA AQUI A PRINCIPAL DOR OU DESEJO NÃO ATENDIDO]”  
Realize uma pesquisa psicográfica profunda com base nesses inputs. Busque insights reais em:
– Fóruns públicos (Reddit, Quora, comunidades nichadas)  
– Redes sociais (YouTube, Twitter, Facebook, comentários de postagens)  
– Avaliações e comentários em blogs e e-commerces  
– Artigos e threads de especialistas ou usuários reais
**Investigue:**
1. **Perfil e crenças do cliente** – valores, sonhos, frustrações, forças externas percebidas.  
2. **Experiência atual com o mercado** – o que já tentou, o que funcionou, o que falhou.  
3. **Tentativas esquecidas ou curiosas** – soluções antigas, não convencionais ou ignoradas.  
4. **Corrupções de mercado** – players, algoritmos, agências, governo ou mídia distorcendo o jogo.
**Entregáveis:**  
– Citações emocionais reais  
– Crenças recorrentes  
– Narrativas simbólicas para copy
---
### ETAPA 4 – Análise Google e Comportamento de Busca
1. Como os usuários pesquisam esse tipo de produto/serviço no Google?  
&gt; Liste perguntas reais, termos long tail, comparações, expressões comuns no autocomplete.
2. O que o público está dizendo sobre esse tipo de produto?  
&gt; Coleta de comentários, percepções, elogios, queixas e medos nos resultados de busca.
3. Quais produtos parecidos têm alta busca e podem concorrer com os da (EMPRESA)?  
&gt; Liste produtos substitutos, paralelos e correlatos com potencial de roubar atenção.
4. Como os concorrentes se comunicam no Google?  
&gt; Analise anúncios pagos, descrições orgânicas, palavras de destaque e promessas centrais.
5. Quais expressões aparecem no "as pessoas também perguntam", “pesquisas relacionadas” e sugestões do Google?  
&gt; Use isso para entender a semântica real da audiência.
---
### ETAPA 5 – Direcionamento Estratégico de Palavras-chave (Uso e Evite)
#### 5.1. Palavras-chave recomendadas para USAR:  
Liste termos com:
- Alta intenção de compra  
- Alinhamento com a dor e desejo do público  
- Potencial de diferenciação real  
- Relevância em SEO e copy estratégica
#### 5.2. Palavras-chave para EVITAR:  
Liste termos:
- Genéricos, vagos ou saturados  
- Que atraem público desalinhado  
- Que reduzem valor (ex: “barato”, “rápido”, “comum”)  
- Que colocam a empresa em guerra de preço
#### 5.3. Sugestões de termos long tail e perguntas reais:  
- Dúvidas do público  
- Comparações frequentes  
- Termos locais ou hiperespecíficos com intenção de fundo de funil
---
### FORMATO DE ENTREGA:
- Organize cada etapa com títulos e tópicos numerados.  
- Use bullets para listas, mas traga explicações sempre que necessário.  
- Cite fontes e indique limitações de dados, se houver.  
- Seja detalhista, mas focado em ações práticas.</t>
  </si>
  <si>
    <t>O que é:
Story com sticker de interação nativa (caixa de pergunta, enquete, múltipla escolha).
Por que funciona:
Gera engajamento ativo, aproxima a marca do público e abre portas para conteúdos futuros baseados em respostas reais.
Como fazer:
Ex: “Qual seu maior desafio com X?”, “Você prefere A ou B?”, “Adivinha qual produto vai voltar?”
Use respostas em outros stories para dar continuidade.
Dica:
Faça perguntas simples e amplas. Depois, use as respostas como gancho para outros conteúdos.</t>
  </si>
  <si>
    <t>STORY3</t>
  </si>
  <si>
    <t>Mini-Tutorial</t>
  </si>
  <si>
    <t>Categoria 2 Pilar 1 Tema 2</t>
  </si>
  <si>
    <t>O que é:
Conteúdo educativo ou demonstrativo simples em formato vertical — mostrando como usar, como fazer, como resolver algo com o que você vende.
Por que funciona:
Entrega valor de forma rápida e visual. Aumenta o tempo de visualização dos stories e pode virar destaque.
Como fazer:
Use vídeo curto + texto explicativo no topo. Ex: “Como aplicar o produto X em 2 passos”. Quebre o tutorial em 3 vídeos no máximo.
Dica:
Ideal para marcas de beleza, alimentação, software, consultoria, etc.</t>
  </si>
  <si>
    <t>STORY4</t>
  </si>
  <si>
    <t>Opinião Rápida / Dica Pessoal</t>
  </si>
  <si>
    <t>B16</t>
  </si>
  <si>
    <t>O que é:
Fala direta com a câmera sobre uma visão, dica, aprendizado ou opinião sobre um assunto do nicho.
Por que funciona:
Aproxima, posiciona, diferencia. Dá rosto e voz à marca.
Como fazer:
Pegue o celular, olhe para a câmera e fale por 15–30 segundos. Ex: “Essa semana, um cliente me perguntou…”
Adicione legenda para acessibilidade.
Dica:
Ótimo para quem quer gerar autoridade e manter constância de forma simples.</t>
  </si>
  <si>
    <t>STORY5</t>
  </si>
  <si>
    <t>Oferta do Dia / Alerta Rápido</t>
  </si>
  <si>
    <t>Categoria 2 Pilar 1 Tema 3</t>
  </si>
  <si>
    <t xml:space="preserve">O que é:
Anúncio urgente, desconto relâmpago, condição especial ou qualquer “oportunidade do agora”.
Por que funciona:
Stories somem em 24h — e isso cria escassez natural. A audiência fica atenta ao conteúdo que pode sumir.
Como fazer:
Use contagem regressiva, sticker de link e uma arte chamativa. Ex: “Só hoje: 30% de desconto com o cupom STORY30”.
Dica:
Você pode usar o mesmo modelo gráfico para alertas semanais — e criar hábito de abrir seus stories.
</t>
  </si>
  <si>
    <t>STORY6</t>
  </si>
  <si>
    <t>Caso</t>
  </si>
  <si>
    <t>B17</t>
  </si>
  <si>
    <t xml:space="preserve">O que é:
Narrativa rápida de um caso real que aconteceu na empresa, com um cliente ou até consigo mesmo.
Por que funciona:
Storytelling curto é poderoso. Engaja e conecta — e o tempo limitado dos stories obriga a ser direto.
Como fazer:
Use sequência de 3 a 5 stories:
1º: Situação inicial
2º: Conflito ou curiosidade
3º: Desfecho ou aprendizado
Adicione texto breve em cada story.
Dica:
Se o caso tiver impacto, salve nos destaques como “Histórias”.
</t>
  </si>
  <si>
    <t>Categoria 2 Pilar 2 Tema 1</t>
  </si>
  <si>
    <t>STORY7</t>
  </si>
  <si>
    <t>Agenda do Dia / Recap do Dia</t>
  </si>
  <si>
    <t xml:space="preserve">O que é:
Stories simples e rápidos que mostram o planejamento do dia antes dele começar ou um resumo do que aconteceu depois que ele termina. Pode ser em formato de lista, selfie comentada, ou fundo visual com sobreposição de texto.
Por que funciona:
Cria rotina de acompanhamento, transmite organização, gera transparência e aproxima o público do dia a dia da marca. É um conteúdo fácil de manter, com alta percepção de atividade e presença. Funciona como “bom dia” e “boa noite” de marca.
Como fazer:
🕘 Agenda do Dia (manhã)
Story 1: “O que vai rolar hoje…”
Story 2: Lista visual das atividades (ex: “• Reunião com cliente • Produção do conteúdo X • Lançamento às 18h”)
Story 3 (opcional): CTA para acompanhar (ex: “Fica de olho aqui nos stories!”)
🌙 Recap do Dia (noite)
Story 1: “Resumo do que rolou hoje”
Story 2: Momentos marcantes em foto/vídeo ou lista
Story 3 (opcional): Insight, aprendizado ou pergunta para o público (“O que você faria diferente hoje?”)
Dica estratégica:
Padronize o visual — use um modelo ou template com o nome do quadro. Faça disso um hábito (ex: 3x por semana). Isso educa o público a esperar e acompanhar. Ideal para criadores, marcas pessoais, agências, consultores, estúdios, serviços e ecommerce com rotina viva.
</t>
  </si>
  <si>
    <t>TEXTO CURTO1</t>
  </si>
  <si>
    <t>Insight</t>
  </si>
  <si>
    <t>Categoria 2 Pilar 2 Tema 2</t>
  </si>
  <si>
    <t>O que é:
Um pensamento curto que revela uma verdade oculta, incômoda ou ignorada. É aquele tipo de frase que você lê e pensa “é verdade, mas ninguém fala disso assim”. Pode ser sobre comportamento, mercado, mentalidade ou um erro comum.
Por que funciona:
É direto, impactante e fácil de compartilhar. Em poucas palavras, entrega um estalo de consciência que se conecta rápido com a realidade do público. Costuma gerar curtidas por identificação e comentários do tipo “eu precisava ler isso”.
Como fazer:
Use linguagem simples, como se falasse em voz alta.
Escreva como uma conclusão óbvia, mas que a maioria ainda não percebeu.
Evite jargões ou frases genéricas.
Exemplo:
“Você não está sem tempo. Você só não sabe o que fazer com ele.”
Dica estratégica:
Use ideias que surgem em atendimentos, reuniões ou bastidores. São frases que nasceram no off e merecem ir pro feed.</t>
  </si>
  <si>
    <t>TEXTO CURTO2</t>
  </si>
  <si>
    <t>Diário</t>
  </si>
  <si>
    <t>C16</t>
  </si>
  <si>
    <t xml:space="preserve">O que é:
Um texto em primeira pessoa, com tom emocional e reflexivo, que compartilha um sentimento real vivido por você ou pela marca. Não precisa ser sobre algo grandioso — às vezes, é só um pensamento do dia que carrega peso de verdade.
Por que funciona:
Cria conexão genuína. O público sente que está vendo “por dentro” e se identifica com a vulnerabilidade. Quanto mais sincero, mais potente. Funciona especialmente bem em comunidades e perfis que têm uma voz forte.
Como fazer:
Escreva como se estivesse falando com um amigo.
Traga uma sensação vivida (cansaço, dúvida, euforia, alívio).
Finalize com um insight, uma pergunta ou uma pausa.
Exemplo:
“Hoje eu quase desisti.
Quase larguei tudo.
Mas depois lembrei que estou aqui porque ainda tem gente olhando e pensando: se ele conseguir, eu também consigo.”
Dica estratégica:
Use quando quiser humanizar sua marca, mostrar bastidor emocional ou atrair pessoas que pensam como você.
</t>
  </si>
  <si>
    <t>Categoria 2 Pilar 2 Tema 3</t>
  </si>
  <si>
    <t>TEXTO CURTO3</t>
  </si>
  <si>
    <t>Pergunta</t>
  </si>
  <si>
    <t>Tema</t>
  </si>
  <si>
    <t>O que é:
Uma provocação em forma de pergunta. Pode ser profunda, desconfortável ou simplesmente curiosa — desde que faça a pessoa refletir ou querer responder. É uma isca para diálogo com valor.
Por que funciona:
Ativa o engajamento sem parecer forçado. As pessoas gostam de falar sobre si mesmas — e uma boa pergunta entrega essa oportunidade. Além disso, você entende melhor seu público pelas respostas.
Como fazer:
Evite perguntas banais (ex: “Qual seu maior sonho?”)
Prefira perguntas que dividem opiniões, cutucam dilemas ou expõem contradições.
Pode usar contexto pessoal ou profissional.
Exemplo:
“Se você tivesse que recomeçar com zero seguidores, faria tudo igual?”
Dica estratégica:
Salve as melhores respostas dos comentários — elas rendem novos conteúdos.</t>
  </si>
  <si>
    <t>TEXTO CURTO4</t>
  </si>
  <si>
    <t>C17</t>
  </si>
  <si>
    <t>1 Coisa</t>
  </si>
  <si>
    <t>Explicação</t>
  </si>
  <si>
    <t>Erros dos Clientes</t>
  </si>
  <si>
    <t>O que é:
Um conselho direto, como se você dissesse apenas uma coisa que a pessoa precisa entender ou aplicar. Pode ser uma regra, uma crença ou um princípio de ação. Entra como se fosse uma “lei do jogo”.
Por que funciona:
É simples, prático e assertivo. Mostra autoridade sem parecer arrogância. Ajuda o público a ter foco e priorizar.
Como fazer:
Use o gatilho da escassez (só UMA coisa).
Seja claro e específico — evite generalizações.
Pode usar a estrutura: “1 coisa que todo [perfil] precisa saber”.
Exemplo:
“1 coisa que todo gestor precisa entender: processo sem cultura é só ilusão.”
Dica estratégica:
Transforme insights de aulas, livros ou falas suas em “leis” — isso gera autoridade.</t>
  </si>
  <si>
    <t>Categoria 2 Pilar 3 Tema 1</t>
  </si>
  <si>
    <t>TEXTO CURTO5</t>
  </si>
  <si>
    <t>Texto Manifesto</t>
  </si>
  <si>
    <t>Liste os erros mais comuns que você vê os seus clientes cometendo e explique o impacto real disso no resultado final.</t>
  </si>
  <si>
    <t>Falhas Estratégicas</t>
  </si>
  <si>
    <t>Erros que não parecem graves, mas comprometem toda a lógica estratégica de um negócio ou carreira.</t>
  </si>
  <si>
    <t>O que é:
Uma mini declaração de crenças. Você usa o texto para mostrar o que acredita, o que não tolera ou o que te move. Não fala de produto — fala de princípios. Serve como bandeira da marca.
Por que funciona:
Conecta por identificação ideológica. Ajuda o público a dizer: “é por isso que eu sigo essa marca”. Funciona como filtro de audiência e âncora de posicionamento.
Como fazer:
Use frases curtas, diretas e com tom de verdade absoluta.
Evite ficar explicando ou justificando.
Comece com uma frase forte e vá escalando.
Exemplo:
“A gente acredita em quem começa pequeno.
A gente rejeita atalho.
A gente valoriza clareza antes de velocidade.
E quem pensa assim, não anda sozinho.”
Dica estratégica:
Reutilize partes desse texto em bio, slogan, assinatura de e-mail ou campanhas.</t>
  </si>
  <si>
    <t>Obstáculos Invisíveis</t>
  </si>
  <si>
    <t>TEXTO CURTO6</t>
  </si>
  <si>
    <t>Coisas que estão travando o crescimento de alguém e que ele sequer sabe que estão ali.</t>
  </si>
  <si>
    <t>Micro Case</t>
  </si>
  <si>
    <t>Rotina Produtiva</t>
  </si>
  <si>
    <t>Categoria 2 Pilar 3 Tema 2</t>
  </si>
  <si>
    <t>Como você estrutura seu dia para conseguir ter resultado real e ainda manter clareza mental.</t>
  </si>
  <si>
    <t xml:space="preserve">O que é:
Um relato rápido de algo que deu certo. Pode ser seu, de um cliente ou de alguém que você acompanha. O foco está na transformação e no que causou o resultado — mesmo que seja simples.
Por que funciona:
É uma forma de prova social que não depende de grandes prints ou vídeos. É storytelling com valor — e gera crença no seu método ou produto.
Como fazer:
Traga um contexto rápido (quem, o quê, quando).
Mostre o ponto de virada.
Finalize com o insight que gerou esse resultado.
Exemplo:
“Uma cliente nossa tinha medo de aparecer.
Em 2 semanas gravando story todo dia, já dobrou o número de orçamentos.
Às vezes o que falta não é estratégia — é coragem.”
Dica estratégica:
Ideal para quando você quer mostrar impacto mesmo sem grandes números.
</t>
  </si>
  <si>
    <t>Hábitos de Alta Performance</t>
  </si>
  <si>
    <t>TEXTO CURTO7</t>
  </si>
  <si>
    <t>Ações repetidas diariamente que te mantêm em alta performance — físicas, emocionais e mentais.</t>
  </si>
  <si>
    <t>Storytelling com Conteúdo</t>
  </si>
  <si>
    <t>Inseguranças Reais</t>
  </si>
  <si>
    <t>D16</t>
  </si>
  <si>
    <t>Medos, inseguranças ou fraquezas que você já teve (ou tem) e que quase ninguém fala abertamente.</t>
  </si>
  <si>
    <t>Reviravoltas de Trajetória</t>
  </si>
  <si>
    <t xml:space="preserve">O que é:
Um texto que começa contando uma situação real, pessoal ou observada — e termina com uma ideia, lição ou insight prático. É uma história curta com uma virada de valor.
Por que funciona:
Porque gente ama história, mas só para quando tem algo em jogo. Ao misturar um episódio (que gera curiosidade) com um conteúdo útil (que gera valor), você entrega emoção e inteligência num post só. Ideal para fundadores, mentores, criadores, especialistas.
Exemplo 1:
Eu quase não fiz aquele vídeo.
A luz tava ruim, o áudio com eco e eu achei minha cara estranha.
Mas eu postei.
Foi o vídeo que me deu mais clientes até hoje.
Às vezes, o que falta não é qualidade — é coragem.
Como fazer:
Comece com uma cena real ou possível (1º ou 3º pessoa)
Deixe o leitor entender o conflito ou dilema
Traga o desfecho ou aprendizado de forma curta, clara e certeira
Feche com uma frase que valha um print, uma anotação ou um repost
Dica estratégica:
Use memórias curtas, frases que você já disse em atendimentos ou coisas que você notou no mercado. O segredo é transformar momentos em verdades universais.
</t>
  </si>
  <si>
    <t>Momentos em que tudo parecia perdido, mas uma virada inesperada trouxe crescimento ou sucesso.</t>
  </si>
  <si>
    <t>Categoria 2 Pilar 3 Tema 3</t>
  </si>
  <si>
    <t>TEXTO LONGO1</t>
  </si>
  <si>
    <t>Decisões Difíceis</t>
  </si>
  <si>
    <t>Carta Aberta</t>
  </si>
  <si>
    <t>Escolhas difíceis que você precisou tomar e os bastidores por trás dessas decisões.</t>
  </si>
  <si>
    <t xml:space="preserve">O que é:
Texto direcionado a uma pessoa, grupo ou ideia — escrito de forma pessoal, mas publicado publicamente. Pode ser para o próprio cliente ideal, para um concorrente, para o mercado, para uma versão antiga de si mesmo ou até para um problema específico.
Por que funciona:
É íntimo e direto. Gera conexão humana real, parece conversa, mas também deixa claro o posicionamento da marca ou do autor. Atrai pela vulnerabilidade e pela firmeza emocional ao mesmo tempo.
Como fazer:
Comece com uma saudação: “Para você que sente que está perdendo tempo...”, ou “Carta aberta para quem já pensou em desistir”
Use tom de conversa, como se estivesse realmente escrevendo uma carta
Conte uma verdade, uma dor ou uma indignação — com emoção e clareza
Finalize com um convite à reflexão ou um chamado à ação simbólico: “Espero que essa carta encontre você no momento certo.”
</t>
  </si>
  <si>
    <t>Comparativo visual ou descritivo de um cenário antes da sua intervenção versus depois dela.</t>
  </si>
  <si>
    <t>D17</t>
  </si>
  <si>
    <t>TEXTO LONGO2</t>
  </si>
  <si>
    <t>Guia Explicativo</t>
  </si>
  <si>
    <t>Estudo real de um caso seu, com problema, contexto, solução aplicada e resultados obtidos.</t>
  </si>
  <si>
    <t>Categoria 3 Pilar 1 Tema 1</t>
  </si>
  <si>
    <t>Processos Internos</t>
  </si>
  <si>
    <t>O que é:
Um conteúdo técnico, prático e aprofundado que ensina, detalha ou destrincha um processo, conceito, método ou ferramenta de forma didática e estruturada. É a "aula por escrito".
Por que funciona:
Constrói autoridade, educa o público e ajuda a ranquear bem em SEO. Ideal para quem quer ensinar e atrair sem vender diretamente — oferecendo algo realmente útil.
Como fazer:
Comece com um parágrafo contextualizando por que aquele tema importa
Divida o conteúdo em subtópicos bem definidos (use títulos e subtítulos)
Inclua exemplos, analogias e passo a passo prático
Feche com um resumo do aprendizado + uma recomendação de próximo passo (ação, leitura, teste)</t>
  </si>
  <si>
    <t>Etapas internas que as pessoas não veem, mas que fazem a engrenagem do seu negócio girar.</t>
  </si>
  <si>
    <t>TEXTO LONGO3</t>
  </si>
  <si>
    <t>Modelos Mentais</t>
  </si>
  <si>
    <t>Artigo Investigativo</t>
  </si>
  <si>
    <t>B21</t>
  </si>
  <si>
    <t>Lógicas que você usa para interpretar o mundo, tomar decisões e construir visões de longo prazo.</t>
  </si>
  <si>
    <t>Aprendizados Tardios</t>
  </si>
  <si>
    <t>Coisas que você só aprendeu depois de muito tempo errando e que gostaria de ter ouvido antes.</t>
  </si>
  <si>
    <t>O que é:
Texto analítico e opinativo que explora a fundo uma situação de mercado, uma tendência, um erro recorrente ou um comportamento coletivo. Requer pesquisa, contexto e observação crítica.
Por que funciona:
Gera autoridade intelectual. Mostra que você pensa além da superfície, analisa causas e efeitos, e tem coragem de apontar padrões que outros ignoram. Ideal para quem quer virar uma referência.
Como fazer:
Comece com o fato observado: “Nos últimos 3 meses, mais de 70% das marcas caíram no mesmo erro…”
Apresente os dados, sinais ou fatos relevantes que você investigou
Conecte os pontos com uma análise própria, com base em experiência ou visão de mundo
Finalize com uma conclusão lógica e um posicionamento claro: “Não é sobre algoritmo. É sobre falta de propósito na criação.”</t>
  </si>
  <si>
    <t>Categoria 3 Pilar 1 Tema 2</t>
  </si>
  <si>
    <t>Resultados Conquistados</t>
  </si>
  <si>
    <t>TEXTO LONGO4</t>
  </si>
  <si>
    <t>Resultados concretos (números, metas, conquistas) e o processo honesto até chegar lá.</t>
  </si>
  <si>
    <t>Case Completo</t>
  </si>
  <si>
    <t>Dados que Abrem os Olhos</t>
  </si>
  <si>
    <t>Estatísticas, pesquisas ou dados que quebram uma expectativa comum e reposicionam um tema.</t>
  </si>
  <si>
    <t>O que é:
Um conteúdo que revela o “por trás das câmeras” de uma campanha, produto, reunião ou tomada de decisão — mas com uma análise técnica ou estratégica embutida.
Por que funciona:
Humaniza o processo e, ao mesmo tempo, educa. Mostra vulnerabilidade e inteligência prática. É excelente para gerar autoridade sem precisar parecer um “guru”.
Como fazer:
Conte um momento real (ex: “Semana passada tivemos uma call com um cliente que…”)
Mostre o problema e a solução adotada
Analise tecnicamente as decisões que foram tomadas
Finalize com aprendizado ou insight transferível: “Se eu estivesse começando hoje, teria feito diferente.”</t>
  </si>
  <si>
    <t>Passo a Passo de um Método</t>
  </si>
  <si>
    <t>B22</t>
  </si>
  <si>
    <t>TEXTO LONGO5</t>
  </si>
  <si>
    <t>Tutorial sequencial ensinando como executar algo do zero, com clareza, estrutura e aplicabilidade.</t>
  </si>
  <si>
    <t>Modelo de Mente</t>
  </si>
  <si>
    <t>Checklists Estratégicos</t>
  </si>
  <si>
    <t>Categoria 3 Pilar 1 Tema 3</t>
  </si>
  <si>
    <t>Checklist simples e objetivo para evitar falhas em uma tarefa ou garantir mais controle no dia a dia.</t>
  </si>
  <si>
    <t>Comparações Decisivas</t>
  </si>
  <si>
    <t>O que é:
Um texto em tom inspirador que compartilha a visão de futuro da marca, do mercado ou da sociedade. Não é opinativo como um manifesto, nem técnico — é uma espécie de declaração de intenção estratégica.
Por que funciona:
Posiciona você como líder de pensamento. Conecta com pessoas que pensam à frente e querem seguir quem já enxerga mais longe.
Muito útil para lançamentos, viradas de posicionamento ou conteúdos institucionais com personalidade.
Como fazer:
Comece com uma frase de cenário futuro (“Nos próximos anos, poucas marcas sobreviverão…”)
Mostre o que você vê acontecendo
Diga onde você e sua marca vão estar nesse novo contexto
Feche com um convite: “A gente já está construindo isso. Você vem junto?”</t>
  </si>
  <si>
    <t>Comparação entre duas abordagens, mostrando quando usar uma ou outra e os prós/contras de cada.</t>
  </si>
  <si>
    <t>TEXTO LONGO6</t>
  </si>
  <si>
    <t>Guias Definitivos</t>
  </si>
  <si>
    <t>Expansão de Ideia</t>
  </si>
  <si>
    <t>B23</t>
  </si>
  <si>
    <t>Guia completo que resolve um problema comum — pode ser prático, técnico ou estratégico.</t>
  </si>
  <si>
    <t>Sugestões de Melhoria</t>
  </si>
  <si>
    <t xml:space="preserve">O que é:
Um conteúdo que parte de uma frase, insight ou crença da marca e se aprofunda até virar um texto completo — destrinchando origem, aplicação, exemplos e implicações da ideia.
Por que funciona:
Constrói percepção de autoridade intelectual. Mostra que a marca tem pensamento próprio.
É o tipo de texto que viraliza entre públicos mais maduros e leitores de LinkedIn, Medium ou blogs de marca.
Como fazer:
Comece com a frase/ideia (“Produtividade não é fazer mais, é remover o que trava.”)
Expanda: onde isso se aplica? por que é verdade?
Mostre como você aplica isso no seu contexto real
Traga exemplos, analogias ou contrapontos
Feche com uma provocação ou CTA estratégico (“Você já pensou no que está travando você agora?”)
</t>
  </si>
  <si>
    <t>Categoria 3 Pilar 2 Tema 1</t>
  </si>
  <si>
    <t>TEXTO LONGO7</t>
  </si>
  <si>
    <t>Ideias de melhorias que você aplicou ou observou em negócios, projetos ou pessoas.</t>
  </si>
  <si>
    <t>Ensaio de Futuro</t>
  </si>
  <si>
    <t>Ferramentas que Uso</t>
  </si>
  <si>
    <t>Softwares, ferramentas ou sistemas que você realmente usa e recomenda — com contexto e porquê.</t>
  </si>
  <si>
    <t>C21</t>
  </si>
  <si>
    <t>O que é:
Uma projeção bem argumentada sobre o que está por vir — seja em um setor, hábito, tecnologia, comportamento ou forma de viver. O foco não é prever com exatidão, mas sim antecipar caminhos prováveis e provocar reflexão estratégica. Pode ser uma análise crítica ou uma visão inspiradora.
Por que funciona:
Atrai um público pensante, que valoriza profundidade e quer se preparar antes da maioria. Posiciona você como alguém que pensa à frente, não reage — lidera. Também facilita conexão com decisores, investidores e profissionais sênior que buscam visão macro.
Como fazer:
Comece com uma mudança invisível aos olhos comuns: “Quase ninguém está prestando atenção nisso, mas...”
Apresente dados, sinais e tendências que sustentam sua leitura
Use metáforas ou analogias para tornar a visão concreta e memorável
Descreva possíveis cenários — o ideal, o problemático e o provável
Finalize com implicações práticas: o que muda para o leitor hoje
Dica estratégica:
Use esse formato para lançar teses, pautar discussões no seu nicho ou introduzir uma linha editorial. Um bom Ensaio de Futuro pode virar referência — ou até se tornar um produto ou movimento.</t>
  </si>
  <si>
    <t>Recomendações Práticas</t>
  </si>
  <si>
    <t>Comercial</t>
  </si>
  <si>
    <t>Indicações úteis para facilitar a vida ou aumentar a performance — pode ser produto, app, curso etc.</t>
  </si>
  <si>
    <t>Categoria 3 Pilar 2 Tema 2</t>
  </si>
  <si>
    <t>Citações com Peso</t>
  </si>
  <si>
    <t>Relacionamento</t>
  </si>
  <si>
    <t>Frases que impactaram sua jornada e representam sua forma de pensar, agir ou comunicar.</t>
  </si>
  <si>
    <t>Exemplos de Mercado</t>
  </si>
  <si>
    <t>Boas Vindas</t>
  </si>
  <si>
    <t>Casos externos que te marcaram (de marcas, pessoas ou empresas) e o que você aprendeu com eles.</t>
  </si>
  <si>
    <t>C22</t>
  </si>
  <si>
    <t>Referências Relevantes</t>
  </si>
  <si>
    <t>Folow Up</t>
  </si>
  <si>
    <t>Mentores, livros, negócios ou ideias que moldaram sua forma de ver o mundo.</t>
  </si>
  <si>
    <t>Categoria 3 Pilar 2 Tema 3</t>
  </si>
  <si>
    <t>Motivações Sinceras</t>
  </si>
  <si>
    <t>Reflexões sinceras que mostram o que te motiva de verdade a continuar no jogo.</t>
  </si>
  <si>
    <t>Vulnerabilidades Estratégicas</t>
  </si>
  <si>
    <t>Abrir uma fraqueza ou limitação com maturidade, mostrando o que você aprendeu com isso.</t>
  </si>
  <si>
    <t>C23</t>
  </si>
  <si>
    <t>Ensinamentos Não Convencionais</t>
  </si>
  <si>
    <t>Aprendizados que vão contra o senso comum, mas que provaram ser verdade na prática.</t>
  </si>
  <si>
    <t>Categoria 3 Pilar 3 Tema 1</t>
  </si>
  <si>
    <t>Artigo de Opinião Forte</t>
  </si>
  <si>
    <t>Texto longo com uma opinião clara, estruturada, baseada em observação e posicionamento.</t>
  </si>
  <si>
    <t>Insights que Mudaram Tudo</t>
  </si>
  <si>
    <t>Um único pensamento ou vivência que te fez mudar completamente de ideia ou de direção.</t>
  </si>
  <si>
    <t>D21</t>
  </si>
  <si>
    <t>Técnica Desconhecida</t>
  </si>
  <si>
    <t>Método pouco conhecido, mas que entrega grandes resultados — e pode posicionar você como referência.</t>
  </si>
  <si>
    <t>Categoria 3 Pilar 3 Tema 2</t>
  </si>
  <si>
    <t>Visão de Futuro</t>
  </si>
  <si>
    <t>Uma previsão ousada sobre o futuro do seu mercado ou comportamento humano — com base em sinais reais.</t>
  </si>
  <si>
    <t>Críticas Construtivas</t>
  </si>
  <si>
    <t>Pontos problemáticos no mercado com sugestões práticas para melhorar — sem ataques, com argumento.</t>
  </si>
  <si>
    <t>D22</t>
  </si>
  <si>
    <t>ESCREVA SEU CONTEÚDO AQUI</t>
  </si>
  <si>
    <t>Conselhos que Ignorou</t>
  </si>
  <si>
    <t>Dicas valiosas que você rejeitou no passado e só entendeu quando viveu — humaniza e gera conexão.</t>
  </si>
  <si>
    <t>Categoria 3 Pilar 3 Tema 3</t>
  </si>
  <si>
    <t>Mentores Invisíveis</t>
  </si>
  <si>
    <t>Pessoas que você nunca conheceu, mas moldaram sua forma de pensar — livros, vídeos, ideias.</t>
  </si>
  <si>
    <t>O que Não Faço Mais</t>
  </si>
  <si>
    <t>Práticas que você abandonou por aprender na dor — o que substituiu e o que melhorou.</t>
  </si>
  <si>
    <t>D23</t>
  </si>
  <si>
    <t>Rotinas que Parecem Estranhas</t>
  </si>
  <si>
    <t>MARCADOR</t>
  </si>
  <si>
    <t>Hábitos pouco convencionais que funcionam para você — curiosidade e autoridade num só post.</t>
  </si>
  <si>
    <t>Checklist Mental</t>
  </si>
  <si>
    <t>A lista invisível que você roda na cabeça antes de tomar decisões críticas.</t>
  </si>
  <si>
    <t>O conteúdo tem um tema central claro e bem definido?</t>
  </si>
  <si>
    <t>Coisas que Funcionaram Só Uma Vez</t>
  </si>
  <si>
    <t>Estratégias que deram certo, mas não se repetiram — e o aprendizado disso.</t>
  </si>
  <si>
    <t>Impressões Impopulares</t>
  </si>
  <si>
    <t>Opiniões que vão na contramão do mainstream — com coragem e argumentos.</t>
  </si>
  <si>
    <t>Verdades Inconvenientes</t>
  </si>
  <si>
    <t>Fatos que ninguém gosta de ouvir, mas que mudam o jogo quando são aceitos.</t>
  </si>
  <si>
    <t>Experimentos Pessoais</t>
  </si>
  <si>
    <t>Testes feitos na vida real — com você, sua equipe ou seus clientes. Mostre os bastidores.</t>
  </si>
  <si>
    <t>Declarações de Guerra</t>
  </si>
  <si>
    <t>Uma oposição clara ao que você rejeita no seu nicho — posicionamento puro.</t>
  </si>
  <si>
    <t>A ideia principal foi explicitada já no início do conteúdo?</t>
  </si>
  <si>
    <t>Testes A/B da Vida</t>
  </si>
  <si>
    <t>Situações em que você comparou caminhos, decisões ou estratégias — e o que aprendeu.</t>
  </si>
  <si>
    <t>Existe uma tese ou ponto de vista forte?</t>
  </si>
  <si>
    <t>Regras que Você Quebrou</t>
  </si>
  <si>
    <t>Normas que você questionou e venceu — e por que valeu a pena.</t>
  </si>
  <si>
    <t>Investimentos que Valeram a Pena</t>
  </si>
  <si>
    <t>O conteúdo resolve uma dúvida ou problema real do público?</t>
  </si>
  <si>
    <t>Onde você colocou tempo ou dinheiro e teve retorno real — inspire com base em resultado.</t>
  </si>
  <si>
    <t>Promessas que Você Não Faz Mais</t>
  </si>
  <si>
    <t>Ele apresenta algo novo, provocativo ou fora do óbvio?</t>
  </si>
  <si>
    <t>Frases de efeito, argumentos ou garantias que você decidiu abandonar.</t>
  </si>
  <si>
    <t>Mudanças de Opinião</t>
  </si>
  <si>
    <t>O conteúdo é aplicável na prática (ou seja, gera ação)?</t>
  </si>
  <si>
    <t>Você pensava de um jeito… agora pensa diferente. Prova de evolução e maturidade.</t>
  </si>
  <si>
    <t>O Que Te Preocupa Agora</t>
  </si>
  <si>
    <t>Bastidores da sua preocupação atual — inseguranças reais de quem está no jogo.</t>
  </si>
  <si>
    <t>Está alinhado com o posicionamento, tom e valores da marca?</t>
  </si>
  <si>
    <t>Jornadas Inacabadas</t>
  </si>
  <si>
    <t>Projetos em progresso que ainda estão em construção. Gera expectativa e conexão.</t>
  </si>
  <si>
    <t>Desafios que Está Vivendo</t>
  </si>
  <si>
    <t>A linguagem está simples, direta e sem enrolação?</t>
  </si>
  <si>
    <t>Uma dificuldade atual (sem drama) com o que está tentando para superar.</t>
  </si>
  <si>
    <t>Coisas Que Você Trocou</t>
  </si>
  <si>
    <t>Ferramentas, abordagens ou hábitos que foram substituídos por algo melhor.</t>
  </si>
  <si>
    <t>O título/chamada é atraente, específico e desperta curiosidade?</t>
  </si>
  <si>
    <t>Desconstrução de Clichês</t>
  </si>
  <si>
    <t>Frases comuns que você questiona — e explica por que elas atrapalham mais que ajudam.</t>
  </si>
  <si>
    <t>Existem exemplos, analogias ou metáforas que tornam tudo mais claro?</t>
  </si>
  <si>
    <t>Inversões de Lógica</t>
  </si>
  <si>
    <t>Ideias que viram o pensamento de ponta-cabeça. Disruptivo e instigante.</t>
  </si>
  <si>
    <t>ROTEIRO DE VÍDEO</t>
  </si>
  <si>
    <t>Declarações de Intenção</t>
  </si>
  <si>
    <t>O conteúdo gera identificação ou conexão emocional com o leitor?</t>
  </si>
  <si>
    <t>“Vou fazer isso.” — Conte para onde você está indo e por que. Ajuda a construir autoridade.</t>
  </si>
  <si>
    <t>Mapas Mentais</t>
  </si>
  <si>
    <t>Diagramas ou esquemas que ilustram como você pensa ou age — ótimo para educar.</t>
  </si>
  <si>
    <t>Existe um gancho inicial forte nos primeiros segundos ou linhas?</t>
  </si>
  <si>
    <t>Erros que Ninguém Vê</t>
  </si>
  <si>
    <t>Falhas sutis que comprometem o desempenho — mostre o que os outros não enxergam.</t>
  </si>
  <si>
    <t>O material foi construído de forma lógica e bem estruturada?</t>
  </si>
  <si>
    <t>Rotinas que Não Mudam</t>
  </si>
  <si>
    <t>Hábitos que você manteve apesar de tudo — e por que eles são inegociáveis.</t>
  </si>
  <si>
    <t>Há insights profundos ou que mostram autoridade no assunto?</t>
  </si>
  <si>
    <t>Coisas que Você Elimina</t>
  </si>
  <si>
    <t>Cortes intencionais — atitudes, vícios, ruídos — que trouxeram clareza.</t>
  </si>
  <si>
    <t>Ideias que Você Repetiria para Sempre</t>
  </si>
  <si>
    <t>O conteúdo evita clichês, frases vazias ou promessas rasas?</t>
  </si>
  <si>
    <t>Seus princípios base — aqueles que funcionam em qualquer fase.</t>
  </si>
  <si>
    <t>Há um objetivo estratégico claro para esse conteúdo?</t>
  </si>
  <si>
    <t>Existe um CTA (chamada para ação) coerente e funcional?</t>
  </si>
  <si>
    <t>O conteúdo encaixa bem no canal e formato escolhido?</t>
  </si>
  <si>
    <t>O texto foi revisado quanto a gramática, coesão e fluidez?</t>
  </si>
  <si>
    <t>O conteúdo está atualizado, relevante e competitivo com o mercado?</t>
  </si>
  <si>
    <t>ALCANCE 80 de 100</t>
  </si>
  <si>
    <t>CONTEÚDO ESTÁTICO</t>
  </si>
  <si>
    <t>CARROSSEL</t>
  </si>
  <si>
    <t>RÉGUAS DE CRM</t>
  </si>
  <si>
    <t>LANDING PAGE</t>
  </si>
  <si>
    <t>GOOGLE ADS SEARCH</t>
  </si>
  <si>
    <t>PERSPECTIVAS LINGUÍSTICAS</t>
  </si>
  <si>
    <t>LINGUAGEM DA MARCA</t>
  </si>
  <si>
    <t>VOZ E TOM MODULAR</t>
  </si>
  <si>
    <t>ADATAPÇÃO AOS CANAIS</t>
  </si>
  <si>
    <t>VOCABULÁRIO E ESTILO</t>
  </si>
  <si>
    <t>COMPORTAMENTO DE COMPRA</t>
  </si>
  <si>
    <t>ARQUÉTIPOS</t>
  </si>
  <si>
    <t>SWOT</t>
  </si>
  <si>
    <t>OS 4Ps</t>
  </si>
  <si>
    <t>ICP</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</si>
</sst>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b/>
      <color rgb="FF000000"/>
      <name val="Montserrat"/>
    </font>
    <font>
      <b/>
      <sz val="15.0"/>
      <color rgb="FFFFFFFF"/>
      <name val="Montserrat"/>
    </font>
    <font>
      <color theme="1"/>
      <name val="Arial"/>
      <scheme val="minor"/>
    </font>
    <font>
      <b/>
      <color rgb="FFFFFFFF"/>
      <name val="Montserrat"/>
    </font>
    <font>
      <sz val="9.0"/>
      <color theme="1"/>
      <name val="Montserrat"/>
    </font>
    <font>
      <color theme="1"/>
      <name val="Montserrat"/>
    </font>
    <font>
      <sz val="10.0"/>
      <color theme="1"/>
      <name val="Montserrat"/>
    </font>
    <font/>
    <font>
      <b/>
      <sz val="20.0"/>
      <color rgb="FFFFFFFF"/>
      <name val="Arial"/>
      <scheme val="minor"/>
    </font>
    <font>
      <sz val="15.0"/>
      <color theme="1"/>
      <name val="Arial"/>
      <scheme val="minor"/>
    </font>
    <font>
      <b/>
      <sz val="12.0"/>
      <color rgb="FF000000"/>
      <name val="Montserrat"/>
    </font>
    <font>
      <b/>
      <sz val="12.0"/>
      <color rgb="FFFFFFFF"/>
      <name val="Montserrat"/>
    </font>
    <font>
      <sz val="15.0"/>
      <color theme="1"/>
      <name val="Montserrat"/>
    </font>
  </fonts>
  <fills count="9">
    <fill>
      <patternFill patternType="none"/>
    </fill>
    <fill>
      <patternFill patternType="lightGray"/>
    </fill>
    <fill>
      <patternFill patternType="solid">
        <fgColor rgb="FFB7B7B7"/>
        <bgColor rgb="FFB7B7B7"/>
      </patternFill>
    </fill>
    <fill>
      <patternFill patternType="solid">
        <fgColor rgb="FFFF0000"/>
        <bgColor rgb="FFFF0000"/>
      </patternFill>
    </fill>
    <fill>
      <patternFill patternType="solid">
        <fgColor rgb="FF434343"/>
        <bgColor rgb="FF434343"/>
      </patternFill>
    </fill>
    <fill>
      <patternFill patternType="solid">
        <fgColor rgb="FFCC0000"/>
        <bgColor rgb="FFCC0000"/>
      </patternFill>
    </fill>
    <fill>
      <patternFill patternType="solid">
        <fgColor rgb="FF999999"/>
        <bgColor rgb="FF999999"/>
      </patternFill>
    </fill>
    <fill>
      <patternFill patternType="solid">
        <fgColor rgb="FF000000"/>
        <bgColor rgb="FF000000"/>
      </patternFill>
    </fill>
    <fill>
      <patternFill patternType="solid">
        <fgColor rgb="FFFF9900"/>
        <bgColor rgb="FFFF9900"/>
      </patternFill>
    </fill>
  </fills>
  <borders count="9">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Fill="1" applyFont="1"/>
    <xf borderId="0" fillId="3" fontId="3" numFmtId="0" xfId="0" applyAlignment="1" applyFill="1" applyFont="1">
      <alignment horizontal="center" readingOrder="0" shrinkToFit="0" vertical="center" wrapText="1"/>
    </xf>
    <xf borderId="0" fillId="2" fontId="2" numFmtId="0" xfId="0" applyAlignment="1" applyFont="1">
      <alignment horizontal="center" readingOrder="0" vertical="center"/>
    </xf>
    <xf borderId="0" fillId="0" fontId="4" numFmtId="0" xfId="0" applyAlignment="1" applyFont="1">
      <alignment readingOrder="0"/>
    </xf>
    <xf borderId="0" fillId="2" fontId="2" numFmtId="0" xfId="0" applyAlignment="1" applyFont="1">
      <alignment horizontal="center" readingOrder="0" shrinkToFit="0" vertical="center" wrapText="1"/>
    </xf>
    <xf borderId="0" fillId="4" fontId="3" numFmtId="0" xfId="0" applyAlignment="1" applyFill="1" applyFont="1">
      <alignment horizontal="center" readingOrder="0" shrinkToFit="0" vertical="center" wrapText="1"/>
    </xf>
    <xf borderId="0" fillId="5" fontId="5" numFmtId="0" xfId="0" applyAlignment="1" applyFill="1" applyFont="1">
      <alignment horizontal="center" readingOrder="0" shrinkToFit="0" vertical="center" wrapText="1"/>
    </xf>
    <xf quotePrefix="1" borderId="0" fillId="0" fontId="4" numFmtId="0" xfId="0" applyAlignment="1" applyFont="1">
      <alignment readingOrder="0"/>
    </xf>
    <xf borderId="0" fillId="0" fontId="6" numFmtId="0" xfId="0" applyAlignment="1" applyFont="1">
      <alignment horizontal="center" readingOrder="0" shrinkToFit="0" vertical="center" wrapText="1"/>
    </xf>
    <xf borderId="0" fillId="6" fontId="5" numFmtId="0" xfId="0" applyAlignment="1" applyFill="1" applyFont="1">
      <alignment horizontal="center" readingOrder="0" shrinkToFit="0" vertical="center" wrapText="1"/>
    </xf>
    <xf borderId="0" fillId="7" fontId="7" numFmtId="0" xfId="0" applyFill="1" applyFont="1"/>
    <xf borderId="0" fillId="0" fontId="6" numFmtId="0" xfId="0" applyAlignment="1" applyFont="1">
      <alignment horizontal="left" readingOrder="0" shrinkToFit="0" vertical="top" wrapText="1"/>
    </xf>
    <xf borderId="0" fillId="0" fontId="8" numFmtId="0" xfId="0" applyAlignment="1" applyFont="1">
      <alignment horizontal="center" readingOrder="0" shrinkToFit="0" vertical="center" wrapText="1"/>
    </xf>
    <xf borderId="0" fillId="2" fontId="6" numFmtId="0" xfId="0" applyAlignment="1" applyFont="1">
      <alignment horizontal="left" readingOrder="0" shrinkToFit="0" vertical="top" wrapText="1"/>
    </xf>
    <xf borderId="1" fillId="3" fontId="3" numFmtId="0" xfId="0" applyAlignment="1" applyBorder="1" applyFont="1">
      <alignment horizontal="center" readingOrder="0" shrinkToFit="0" vertical="center" wrapText="1"/>
    </xf>
    <xf borderId="1" fillId="5" fontId="5"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top" wrapText="1"/>
    </xf>
    <xf borderId="2" fillId="3" fontId="3" numFmtId="0" xfId="0" applyAlignment="1" applyBorder="1" applyFont="1">
      <alignment horizontal="center" readingOrder="0" shrinkToFit="0" vertical="center" wrapText="1"/>
    </xf>
    <xf borderId="3" fillId="0" fontId="9" numFmtId="0" xfId="0" applyBorder="1" applyFont="1"/>
    <xf borderId="4" fillId="0" fontId="9" numFmtId="0" xfId="0" applyBorder="1" applyFont="1"/>
    <xf borderId="5" fillId="5" fontId="5" numFmtId="0" xfId="0" applyAlignment="1" applyBorder="1" applyFont="1">
      <alignment horizontal="center" readingOrder="0" shrinkToFit="0" vertical="center" wrapText="1"/>
    </xf>
    <xf borderId="6" fillId="0" fontId="6" numFmtId="0" xfId="0" applyAlignment="1" applyBorder="1" applyFont="1">
      <alignment horizontal="left" readingOrder="0" shrinkToFit="0" vertical="top" wrapText="1"/>
    </xf>
    <xf borderId="7" fillId="0" fontId="6" numFmtId="0" xfId="0" applyAlignment="1" applyBorder="1" applyFont="1">
      <alignment horizontal="left" readingOrder="0" shrinkToFit="0" vertical="top" wrapText="1"/>
    </xf>
    <xf borderId="8" fillId="0" fontId="6" numFmtId="0" xfId="0" applyAlignment="1" applyBorder="1" applyFont="1">
      <alignment horizontal="left" readingOrder="0" shrinkToFit="0" vertical="top"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8" fontId="2" numFmtId="0" xfId="0" applyAlignment="1" applyFill="1" applyFont="1">
      <alignment horizontal="center" readingOrder="0" shrinkToFit="0" vertical="center" wrapText="1"/>
    </xf>
    <xf borderId="0" fillId="5" fontId="5" numFmtId="0" xfId="0" applyAlignment="1" applyFont="1">
      <alignment horizontal="center" readingOrder="0" shrinkToFit="0" vertical="center" wrapText="0"/>
    </xf>
    <xf borderId="0" fillId="5" fontId="5" numFmtId="0" xfId="0" applyAlignment="1" applyFont="1">
      <alignment horizontal="center" readingOrder="0" shrinkToFit="0" vertical="center" wrapText="0"/>
    </xf>
    <xf borderId="0" fillId="0" fontId="4" numFmtId="0" xfId="0" applyAlignment="1" applyFont="1">
      <alignment readingOrder="0" shrinkToFit="0" wrapText="0"/>
    </xf>
    <xf borderId="0" fillId="0" fontId="4" numFmtId="0" xfId="0" applyAlignment="1" applyFont="1">
      <alignment shrinkToFit="0" wrapText="0"/>
    </xf>
    <xf borderId="0" fillId="3" fontId="10" numFmtId="0" xfId="0" applyAlignment="1" applyFont="1">
      <alignment horizontal="center" readingOrder="0"/>
    </xf>
    <xf borderId="0" fillId="0" fontId="11" numFmtId="0" xfId="0" applyAlignment="1" applyFont="1">
      <alignment readingOrder="0"/>
    </xf>
    <xf borderId="0" fillId="2" fontId="12" numFmtId="0" xfId="0" applyAlignment="1" applyFont="1">
      <alignment horizontal="center" readingOrder="0" vertical="center"/>
    </xf>
    <xf borderId="0" fillId="3" fontId="13" numFmtId="0" xfId="0" applyAlignment="1" applyFont="1">
      <alignment horizontal="center" readingOrder="0" shrinkToFit="0" vertical="center" wrapText="1"/>
    </xf>
    <xf borderId="0" fillId="2" fontId="2" numFmtId="0" xfId="0" applyAlignment="1" applyFont="1">
      <alignment horizontal="left" readingOrder="0" shrinkToFit="0" vertical="center" wrapText="1"/>
    </xf>
    <xf borderId="0" fillId="0" fontId="14" numFmtId="0" xfId="0" applyAlignment="1" applyFont="1">
      <alignment horizontal="center" readingOrder="0" shrinkToFit="0" vertical="center" wrapText="1"/>
    </xf>
    <xf borderId="0" fillId="0" fontId="8" numFmtId="0" xfId="0" applyAlignment="1" applyFont="1">
      <alignment horizontal="left" readingOrder="0" shrinkToFit="0" vertical="top" wrapText="1"/>
    </xf>
    <xf borderId="0" fillId="7" fontId="3" numFmtId="0" xfId="0" applyAlignment="1" applyFont="1">
      <alignment readingOrder="0" vertical="center"/>
    </xf>
    <xf borderId="0" fillId="7" fontId="3" numFmtId="0" xfId="0" applyAlignment="1" applyFont="1">
      <alignment horizontal="center"/>
    </xf>
    <xf borderId="0" fillId="5" fontId="5" numFmtId="0" xfId="0" applyAlignment="1" applyFont="1">
      <alignment horizontal="center" shrinkToFit="0" vertical="center"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hidden="1" min="2" max="4" width="5.88"/>
    <col customWidth="1" min="5" max="5" width="16.25"/>
    <col customWidth="1" min="6" max="6" width="7.75"/>
    <col customWidth="1" min="7" max="7" width="24.25"/>
  </cols>
  <sheetData>
    <row r="1">
      <c r="A1" s="1" t="s">
        <v>0</v>
      </c>
      <c r="B1" s="1"/>
      <c r="C1" s="1"/>
      <c r="D1" s="1"/>
      <c r="E1" s="1" t="s">
        <v>1</v>
      </c>
      <c r="F1" s="1" t="s">
        <v>3</v>
      </c>
      <c r="G1" s="1" t="s">
        <v>4</v>
      </c>
    </row>
    <row r="2">
      <c r="A2" s="5" t="s">
        <v>5</v>
      </c>
      <c r="B2" s="1" t="s">
        <v>8</v>
      </c>
      <c r="C2" s="1" t="s">
        <v>10</v>
      </c>
      <c r="D2" s="1" t="s">
        <v>11</v>
      </c>
      <c r="E2" s="9" t="s">
        <v>13</v>
      </c>
      <c r="F2" s="5" t="s">
        <v>16</v>
      </c>
      <c r="G2" s="5" t="str">
        <f t="shared" ref="G2:G86" si="1">CONCATENATE(C2,E2,B2,F2,D2)</f>
        <v>" &amp; USE CASE MAP!B3 &amp; "</v>
      </c>
    </row>
    <row r="3">
      <c r="A3" s="5" t="s">
        <v>20</v>
      </c>
      <c r="B3" s="1" t="s">
        <v>8</v>
      </c>
      <c r="C3" s="1" t="s">
        <v>10</v>
      </c>
      <c r="D3" s="1" t="s">
        <v>11</v>
      </c>
      <c r="E3" s="9" t="s">
        <v>13</v>
      </c>
      <c r="F3" s="5" t="s">
        <v>51</v>
      </c>
      <c r="G3" s="5" t="str">
        <f t="shared" si="1"/>
        <v>" &amp; USE CASE MAP!C3 &amp; "</v>
      </c>
    </row>
    <row r="4">
      <c r="A4" s="5" t="s">
        <v>23</v>
      </c>
      <c r="B4" s="1" t="s">
        <v>8</v>
      </c>
      <c r="C4" s="1" t="s">
        <v>10</v>
      </c>
      <c r="D4" s="1" t="s">
        <v>11</v>
      </c>
      <c r="E4" s="9" t="s">
        <v>13</v>
      </c>
      <c r="F4" s="5" t="s">
        <v>55</v>
      </c>
      <c r="G4" s="5" t="str">
        <f t="shared" si="1"/>
        <v>" &amp; USE CASE MAP!D3 &amp; "</v>
      </c>
    </row>
    <row r="5">
      <c r="A5" s="5" t="s">
        <v>25</v>
      </c>
      <c r="B5" s="1" t="s">
        <v>8</v>
      </c>
      <c r="C5" s="1" t="s">
        <v>10</v>
      </c>
      <c r="D5" s="1" t="s">
        <v>11</v>
      </c>
      <c r="E5" s="9" t="s">
        <v>13</v>
      </c>
      <c r="F5" s="5" t="s">
        <v>71</v>
      </c>
      <c r="G5" s="5" t="str">
        <f t="shared" si="1"/>
        <v>" &amp; USE CASE MAP!E3 &amp; "</v>
      </c>
    </row>
    <row r="6">
      <c r="A6" s="5" t="s">
        <v>28</v>
      </c>
      <c r="B6" s="1" t="s">
        <v>8</v>
      </c>
      <c r="C6" s="1" t="s">
        <v>10</v>
      </c>
      <c r="D6" s="1" t="s">
        <v>11</v>
      </c>
      <c r="E6" s="9" t="s">
        <v>13</v>
      </c>
      <c r="F6" s="5" t="s">
        <v>78</v>
      </c>
      <c r="G6" s="5" t="str">
        <f t="shared" si="1"/>
        <v>" &amp; USE CASE MAP!F3 &amp; "</v>
      </c>
    </row>
    <row r="7">
      <c r="A7" s="5" t="s">
        <v>32</v>
      </c>
      <c r="B7" s="1" t="s">
        <v>8</v>
      </c>
      <c r="C7" s="1" t="s">
        <v>10</v>
      </c>
      <c r="D7" s="1" t="s">
        <v>11</v>
      </c>
      <c r="E7" s="9" t="s">
        <v>13</v>
      </c>
      <c r="F7" s="5" t="s">
        <v>86</v>
      </c>
      <c r="G7" s="5" t="str">
        <f t="shared" si="1"/>
        <v>" &amp; USE CASE MAP!G3 &amp; "</v>
      </c>
    </row>
    <row r="8">
      <c r="A8" s="5" t="s">
        <v>36</v>
      </c>
      <c r="B8" s="1" t="s">
        <v>8</v>
      </c>
      <c r="C8" s="1" t="s">
        <v>10</v>
      </c>
      <c r="D8" s="1" t="s">
        <v>11</v>
      </c>
      <c r="E8" s="9" t="s">
        <v>13</v>
      </c>
      <c r="F8" s="5" t="s">
        <v>96</v>
      </c>
      <c r="G8" s="5" t="str">
        <f t="shared" si="1"/>
        <v>" &amp; USE CASE MAP!H3 &amp; "</v>
      </c>
    </row>
    <row r="9">
      <c r="A9" s="5" t="s">
        <v>62</v>
      </c>
      <c r="B9" s="1" t="s">
        <v>8</v>
      </c>
      <c r="C9" s="1" t="s">
        <v>10</v>
      </c>
      <c r="D9" s="1" t="s">
        <v>11</v>
      </c>
      <c r="E9" s="9" t="s">
        <v>13</v>
      </c>
      <c r="F9" s="5" t="s">
        <v>109</v>
      </c>
      <c r="G9" s="5" t="str">
        <f t="shared" si="1"/>
        <v>" &amp; USE CASE MAP!B7 &amp; "</v>
      </c>
    </row>
    <row r="10">
      <c r="A10" s="5" t="s">
        <v>65</v>
      </c>
      <c r="B10" s="1" t="s">
        <v>8</v>
      </c>
      <c r="C10" s="1" t="s">
        <v>10</v>
      </c>
      <c r="D10" s="1" t="s">
        <v>11</v>
      </c>
      <c r="E10" s="9" t="s">
        <v>13</v>
      </c>
      <c r="F10" s="5" t="s">
        <v>116</v>
      </c>
      <c r="G10" s="5" t="str">
        <f t="shared" si="1"/>
        <v>" &amp; USE CASE MAP!C7 &amp; "</v>
      </c>
    </row>
    <row r="11">
      <c r="A11" s="5" t="s">
        <v>66</v>
      </c>
      <c r="B11" s="1" t="s">
        <v>8</v>
      </c>
      <c r="C11" s="1" t="s">
        <v>10</v>
      </c>
      <c r="D11" s="1" t="s">
        <v>11</v>
      </c>
      <c r="E11" s="9" t="s">
        <v>13</v>
      </c>
      <c r="F11" s="5" t="s">
        <v>125</v>
      </c>
      <c r="G11" s="5" t="str">
        <f t="shared" si="1"/>
        <v>" &amp; USE CASE MAP!D7 &amp; "</v>
      </c>
    </row>
    <row r="12">
      <c r="A12" s="5" t="s">
        <v>70</v>
      </c>
      <c r="B12" s="1" t="s">
        <v>8</v>
      </c>
      <c r="C12" s="1" t="s">
        <v>10</v>
      </c>
      <c r="D12" s="1" t="s">
        <v>11</v>
      </c>
      <c r="E12" s="9" t="s">
        <v>13</v>
      </c>
      <c r="F12" s="5" t="s">
        <v>134</v>
      </c>
      <c r="G12" s="5" t="str">
        <f t="shared" si="1"/>
        <v>" &amp; USE CASE MAP!E7 &amp; "</v>
      </c>
    </row>
    <row r="13">
      <c r="A13" s="5" t="s">
        <v>73</v>
      </c>
      <c r="B13" s="1" t="s">
        <v>8</v>
      </c>
      <c r="C13" s="1" t="s">
        <v>10</v>
      </c>
      <c r="D13" s="1" t="s">
        <v>11</v>
      </c>
      <c r="E13" s="9" t="s">
        <v>13</v>
      </c>
      <c r="F13" s="5" t="s">
        <v>137</v>
      </c>
      <c r="G13" s="5" t="str">
        <f t="shared" si="1"/>
        <v>" &amp; USE CASE MAP!F7 &amp; "</v>
      </c>
    </row>
    <row r="14">
      <c r="A14" s="5" t="s">
        <v>74</v>
      </c>
      <c r="B14" s="1" t="s">
        <v>8</v>
      </c>
      <c r="C14" s="1" t="s">
        <v>10</v>
      </c>
      <c r="D14" s="1" t="s">
        <v>11</v>
      </c>
      <c r="E14" s="9" t="s">
        <v>13</v>
      </c>
      <c r="F14" s="5" t="s">
        <v>139</v>
      </c>
      <c r="G14" s="5" t="str">
        <f t="shared" si="1"/>
        <v>" &amp; USE CASE MAP!G7 &amp; "</v>
      </c>
    </row>
    <row r="15">
      <c r="A15" s="5" t="s">
        <v>107</v>
      </c>
      <c r="B15" s="1" t="s">
        <v>8</v>
      </c>
      <c r="C15" s="1" t="s">
        <v>10</v>
      </c>
      <c r="D15" s="1" t="s">
        <v>11</v>
      </c>
      <c r="E15" s="9" t="s">
        <v>13</v>
      </c>
      <c r="F15" s="5" t="s">
        <v>150</v>
      </c>
      <c r="G15" s="5" t="str">
        <f t="shared" si="1"/>
        <v>" &amp; USE CASE MAP!B11 &amp; "</v>
      </c>
    </row>
    <row r="16">
      <c r="A16" s="5" t="s">
        <v>108</v>
      </c>
      <c r="B16" s="1" t="s">
        <v>8</v>
      </c>
      <c r="C16" s="1" t="s">
        <v>10</v>
      </c>
      <c r="D16" s="1" t="s">
        <v>11</v>
      </c>
      <c r="E16" s="9" t="s">
        <v>13</v>
      </c>
      <c r="F16" s="5" t="s">
        <v>162</v>
      </c>
      <c r="G16" s="5" t="str">
        <f t="shared" si="1"/>
        <v>" &amp; USE CASE MAP!C11 &amp; "</v>
      </c>
    </row>
    <row r="17">
      <c r="A17" s="5" t="s">
        <v>110</v>
      </c>
      <c r="B17" s="1" t="s">
        <v>8</v>
      </c>
      <c r="C17" s="1" t="s">
        <v>10</v>
      </c>
      <c r="D17" s="1" t="s">
        <v>11</v>
      </c>
      <c r="E17" s="9" t="s">
        <v>13</v>
      </c>
      <c r="F17" s="5" t="s">
        <v>169</v>
      </c>
      <c r="G17" s="5" t="str">
        <f t="shared" si="1"/>
        <v>" &amp; USE CASE MAP!D11 &amp; "</v>
      </c>
    </row>
    <row r="18">
      <c r="A18" s="5" t="s">
        <v>111</v>
      </c>
      <c r="B18" s="1" t="s">
        <v>8</v>
      </c>
      <c r="C18" s="1" t="s">
        <v>10</v>
      </c>
      <c r="D18" s="1" t="s">
        <v>11</v>
      </c>
      <c r="E18" s="9" t="s">
        <v>13</v>
      </c>
      <c r="F18" s="5" t="s">
        <v>174</v>
      </c>
      <c r="G18" s="5" t="str">
        <f t="shared" si="1"/>
        <v>" &amp; USE CASE MAP!E11 &amp; "</v>
      </c>
    </row>
    <row r="19">
      <c r="A19" s="5" t="s">
        <v>112</v>
      </c>
      <c r="B19" s="1" t="s">
        <v>8</v>
      </c>
      <c r="C19" s="1" t="s">
        <v>10</v>
      </c>
      <c r="D19" s="1" t="s">
        <v>11</v>
      </c>
      <c r="E19" s="9" t="s">
        <v>13</v>
      </c>
      <c r="F19" s="5" t="s">
        <v>182</v>
      </c>
      <c r="G19" s="5" t="str">
        <f t="shared" si="1"/>
        <v>" &amp; USE CASE MAP!F11 &amp; "</v>
      </c>
    </row>
    <row r="20">
      <c r="A20" s="5" t="s">
        <v>113</v>
      </c>
      <c r="B20" s="1" t="s">
        <v>8</v>
      </c>
      <c r="C20" s="1" t="s">
        <v>10</v>
      </c>
      <c r="D20" s="1" t="s">
        <v>11</v>
      </c>
      <c r="E20" s="9" t="s">
        <v>13</v>
      </c>
      <c r="F20" s="5" t="s">
        <v>192</v>
      </c>
      <c r="G20" s="5" t="str">
        <f t="shared" si="1"/>
        <v>" &amp; USE CASE MAP!G11 &amp; "</v>
      </c>
    </row>
    <row r="21">
      <c r="A21" s="5" t="s">
        <v>114</v>
      </c>
      <c r="B21" s="1" t="s">
        <v>8</v>
      </c>
      <c r="C21" s="1" t="s">
        <v>10</v>
      </c>
      <c r="D21" s="1" t="s">
        <v>11</v>
      </c>
      <c r="E21" s="9" t="s">
        <v>13</v>
      </c>
      <c r="F21" s="5" t="s">
        <v>197</v>
      </c>
      <c r="G21" s="5" t="str">
        <f t="shared" si="1"/>
        <v>" &amp; USE CASE MAP!H11 &amp; "</v>
      </c>
    </row>
    <row r="22">
      <c r="A22" s="5" t="s">
        <v>143</v>
      </c>
      <c r="B22" s="1" t="s">
        <v>8</v>
      </c>
      <c r="C22" s="1" t="s">
        <v>10</v>
      </c>
      <c r="D22" s="1" t="s">
        <v>11</v>
      </c>
      <c r="E22" s="9" t="s">
        <v>13</v>
      </c>
      <c r="F22" s="5" t="s">
        <v>205</v>
      </c>
      <c r="G22" s="5" t="str">
        <f t="shared" si="1"/>
        <v>" &amp; USE CASE MAP!B15 &amp; "</v>
      </c>
    </row>
    <row r="23">
      <c r="A23" s="5" t="s">
        <v>144</v>
      </c>
      <c r="B23" s="1" t="s">
        <v>8</v>
      </c>
      <c r="C23" s="1" t="s">
        <v>10</v>
      </c>
      <c r="D23" s="1" t="s">
        <v>11</v>
      </c>
      <c r="E23" s="9" t="s">
        <v>13</v>
      </c>
      <c r="F23" s="5" t="s">
        <v>211</v>
      </c>
      <c r="G23" s="5" t="str">
        <f t="shared" si="1"/>
        <v>" &amp; USE CASE MAP!C15 &amp; "</v>
      </c>
    </row>
    <row r="24">
      <c r="A24" s="5" t="s">
        <v>146</v>
      </c>
      <c r="B24" s="1" t="s">
        <v>8</v>
      </c>
      <c r="C24" s="1" t="s">
        <v>10</v>
      </c>
      <c r="D24" s="1" t="s">
        <v>11</v>
      </c>
      <c r="E24" s="9" t="s">
        <v>13</v>
      </c>
      <c r="F24" s="5" t="s">
        <v>214</v>
      </c>
      <c r="G24" s="5" t="str">
        <f t="shared" si="1"/>
        <v>" &amp; USE CASE MAP!D15 &amp; "</v>
      </c>
    </row>
    <row r="25">
      <c r="A25" s="5" t="s">
        <v>148</v>
      </c>
      <c r="B25" s="1" t="s">
        <v>8</v>
      </c>
      <c r="C25" s="1" t="s">
        <v>10</v>
      </c>
      <c r="D25" s="1" t="s">
        <v>11</v>
      </c>
      <c r="E25" s="9" t="s">
        <v>13</v>
      </c>
      <c r="F25" s="5" t="s">
        <v>217</v>
      </c>
      <c r="G25" s="5" t="str">
        <f t="shared" si="1"/>
        <v>" &amp; USE CASE MAP!E15 &amp; "</v>
      </c>
    </row>
    <row r="26">
      <c r="A26" s="5" t="s">
        <v>151</v>
      </c>
      <c r="B26" s="1" t="s">
        <v>8</v>
      </c>
      <c r="C26" s="1" t="s">
        <v>10</v>
      </c>
      <c r="D26" s="1" t="s">
        <v>11</v>
      </c>
      <c r="E26" s="9" t="s">
        <v>13</v>
      </c>
      <c r="F26" s="5" t="s">
        <v>222</v>
      </c>
      <c r="G26" s="5" t="str">
        <f t="shared" si="1"/>
        <v>" &amp; USE CASE MAP!F15 &amp; "</v>
      </c>
    </row>
    <row r="27">
      <c r="A27" s="5" t="s">
        <v>153</v>
      </c>
      <c r="B27" s="1" t="s">
        <v>8</v>
      </c>
      <c r="C27" s="1" t="s">
        <v>10</v>
      </c>
      <c r="D27" s="1" t="s">
        <v>11</v>
      </c>
      <c r="E27" s="9" t="s">
        <v>13</v>
      </c>
      <c r="F27" s="5" t="s">
        <v>226</v>
      </c>
      <c r="G27" s="5" t="str">
        <f t="shared" si="1"/>
        <v>" &amp; USE CASE MAP!G15 &amp; "</v>
      </c>
    </row>
    <row r="28">
      <c r="A28" s="5" t="s">
        <v>185</v>
      </c>
      <c r="B28" s="1" t="s">
        <v>8</v>
      </c>
      <c r="C28" s="1" t="s">
        <v>10</v>
      </c>
      <c r="D28" s="1" t="s">
        <v>11</v>
      </c>
      <c r="E28" s="9" t="s">
        <v>13</v>
      </c>
      <c r="F28" s="5" t="s">
        <v>234</v>
      </c>
      <c r="G28" s="5" t="str">
        <f t="shared" si="1"/>
        <v>" &amp; USE CASE MAP!B19 &amp; "</v>
      </c>
    </row>
    <row r="29">
      <c r="A29" s="5" t="s">
        <v>186</v>
      </c>
      <c r="B29" s="1" t="s">
        <v>8</v>
      </c>
      <c r="C29" s="1" t="s">
        <v>10</v>
      </c>
      <c r="D29" s="1" t="s">
        <v>11</v>
      </c>
      <c r="E29" s="9" t="s">
        <v>13</v>
      </c>
      <c r="F29" s="5" t="s">
        <v>240</v>
      </c>
      <c r="G29" s="5" t="str">
        <f t="shared" si="1"/>
        <v>" &amp; USE CASE MAP!C19 &amp; "</v>
      </c>
    </row>
    <row r="30">
      <c r="A30" s="5" t="s">
        <v>187</v>
      </c>
      <c r="B30" s="1" t="s">
        <v>8</v>
      </c>
      <c r="C30" s="1" t="s">
        <v>10</v>
      </c>
      <c r="D30" s="1" t="s">
        <v>11</v>
      </c>
      <c r="E30" s="9" t="s">
        <v>13</v>
      </c>
      <c r="F30" s="5" t="s">
        <v>250</v>
      </c>
      <c r="G30" s="5" t="str">
        <f t="shared" si="1"/>
        <v>" &amp; USE CASE MAP!D19 &amp; "</v>
      </c>
    </row>
    <row r="31">
      <c r="A31" s="5" t="s">
        <v>188</v>
      </c>
      <c r="B31" s="1" t="s">
        <v>8</v>
      </c>
      <c r="C31" s="1" t="s">
        <v>10</v>
      </c>
      <c r="D31" s="1" t="s">
        <v>11</v>
      </c>
      <c r="E31" s="9" t="s">
        <v>13</v>
      </c>
      <c r="F31" s="5" t="s">
        <v>260</v>
      </c>
      <c r="G31" s="5" t="str">
        <f t="shared" si="1"/>
        <v>" &amp; USE CASE MAP!E19 &amp; "</v>
      </c>
    </row>
    <row r="32">
      <c r="A32" s="5" t="s">
        <v>189</v>
      </c>
      <c r="B32" s="1" t="s">
        <v>8</v>
      </c>
      <c r="C32" s="1" t="s">
        <v>10</v>
      </c>
      <c r="D32" s="1" t="s">
        <v>11</v>
      </c>
      <c r="E32" s="9" t="s">
        <v>13</v>
      </c>
      <c r="F32" s="5" t="s">
        <v>267</v>
      </c>
      <c r="G32" s="5" t="str">
        <f t="shared" si="1"/>
        <v>" &amp; USE CASE MAP!F19 &amp; "</v>
      </c>
    </row>
    <row r="33">
      <c r="A33" s="5" t="s">
        <v>74</v>
      </c>
      <c r="B33" s="1" t="s">
        <v>8</v>
      </c>
      <c r="C33" s="1" t="s">
        <v>10</v>
      </c>
      <c r="D33" s="1" t="s">
        <v>11</v>
      </c>
      <c r="E33" s="9" t="s">
        <v>13</v>
      </c>
      <c r="F33" s="5" t="s">
        <v>273</v>
      </c>
      <c r="G33" s="5" t="str">
        <f t="shared" si="1"/>
        <v>" &amp; USE CASE MAP!G19 &amp; "</v>
      </c>
    </row>
    <row r="34">
      <c r="A34" s="5" t="s">
        <v>191</v>
      </c>
      <c r="B34" s="1" t="s">
        <v>8</v>
      </c>
      <c r="C34" s="1" t="s">
        <v>10</v>
      </c>
      <c r="D34" s="1" t="s">
        <v>11</v>
      </c>
      <c r="E34" s="9" t="s">
        <v>13</v>
      </c>
      <c r="F34" s="5" t="s">
        <v>279</v>
      </c>
      <c r="G34" s="5" t="str">
        <f t="shared" si="1"/>
        <v>" &amp; USE CASE MAP!H19 &amp; "</v>
      </c>
    </row>
    <row r="35">
      <c r="A35" s="5" t="s">
        <v>193</v>
      </c>
      <c r="B35" s="1" t="s">
        <v>8</v>
      </c>
      <c r="C35" s="1" t="s">
        <v>10</v>
      </c>
      <c r="D35" s="1" t="s">
        <v>11</v>
      </c>
      <c r="E35" s="9" t="s">
        <v>13</v>
      </c>
      <c r="F35" s="5" t="s">
        <v>299</v>
      </c>
      <c r="G35" s="5" t="str">
        <f t="shared" si="1"/>
        <v>" &amp; USE CASE MAP!I19 &amp; "</v>
      </c>
    </row>
    <row r="36">
      <c r="A36" s="5" t="s">
        <v>304</v>
      </c>
      <c r="B36" s="1" t="s">
        <v>8</v>
      </c>
      <c r="C36" s="1" t="s">
        <v>10</v>
      </c>
      <c r="D36" s="1" t="s">
        <v>11</v>
      </c>
      <c r="E36" s="5" t="s">
        <v>310</v>
      </c>
      <c r="F36" s="5" t="s">
        <v>16</v>
      </c>
      <c r="G36" s="5" t="str">
        <f t="shared" si="1"/>
        <v>" &amp; POSICIONAMENTO!B3 &amp; "</v>
      </c>
    </row>
    <row r="37">
      <c r="A37" s="5" t="s">
        <v>317</v>
      </c>
      <c r="B37" s="1" t="s">
        <v>8</v>
      </c>
      <c r="C37" s="1" t="s">
        <v>10</v>
      </c>
      <c r="D37" s="1" t="s">
        <v>11</v>
      </c>
      <c r="E37" s="5" t="s">
        <v>310</v>
      </c>
      <c r="F37" s="5" t="s">
        <v>51</v>
      </c>
      <c r="G37" s="5" t="str">
        <f t="shared" si="1"/>
        <v>" &amp; POSICIONAMENTO!C3 &amp; "</v>
      </c>
    </row>
    <row r="38">
      <c r="A38" s="5" t="s">
        <v>321</v>
      </c>
      <c r="B38" s="1" t="s">
        <v>8</v>
      </c>
      <c r="C38" s="1" t="s">
        <v>10</v>
      </c>
      <c r="D38" s="1" t="s">
        <v>11</v>
      </c>
      <c r="E38" s="5" t="s">
        <v>310</v>
      </c>
      <c r="F38" s="5" t="s">
        <v>55</v>
      </c>
      <c r="G38" s="5" t="str">
        <f t="shared" si="1"/>
        <v>" &amp; POSICIONAMENTO!D3 &amp; "</v>
      </c>
    </row>
    <row r="39">
      <c r="A39" s="5" t="s">
        <v>326</v>
      </c>
      <c r="B39" s="1" t="s">
        <v>8</v>
      </c>
      <c r="C39" s="1" t="s">
        <v>10</v>
      </c>
      <c r="D39" s="1" t="s">
        <v>11</v>
      </c>
      <c r="E39" s="5" t="s">
        <v>310</v>
      </c>
      <c r="F39" s="5" t="s">
        <v>71</v>
      </c>
      <c r="G39" s="5" t="str">
        <f t="shared" si="1"/>
        <v>" &amp; POSICIONAMENTO!E3 &amp; "</v>
      </c>
    </row>
    <row r="40">
      <c r="A40" s="5" t="s">
        <v>330</v>
      </c>
      <c r="B40" s="1" t="s">
        <v>8</v>
      </c>
      <c r="C40" s="1" t="s">
        <v>10</v>
      </c>
      <c r="D40" s="1" t="s">
        <v>11</v>
      </c>
      <c r="E40" s="5" t="s">
        <v>310</v>
      </c>
      <c r="F40" s="5" t="s">
        <v>78</v>
      </c>
      <c r="G40" s="5" t="str">
        <f t="shared" si="1"/>
        <v>" &amp; POSICIONAMENTO!F3 &amp; "</v>
      </c>
    </row>
    <row r="41">
      <c r="A41" s="5" t="s">
        <v>337</v>
      </c>
      <c r="B41" s="1" t="s">
        <v>8</v>
      </c>
      <c r="C41" s="1" t="s">
        <v>10</v>
      </c>
      <c r="D41" s="1" t="s">
        <v>11</v>
      </c>
      <c r="E41" s="5" t="s">
        <v>310</v>
      </c>
      <c r="F41" s="5" t="s">
        <v>86</v>
      </c>
      <c r="G41" s="5" t="str">
        <f t="shared" si="1"/>
        <v>" &amp; POSICIONAMENTO!G3 &amp; "</v>
      </c>
    </row>
    <row r="42">
      <c r="A42" s="5" t="s">
        <v>342</v>
      </c>
      <c r="B42" s="1" t="s">
        <v>8</v>
      </c>
      <c r="C42" s="1" t="s">
        <v>10</v>
      </c>
      <c r="D42" s="1" t="s">
        <v>11</v>
      </c>
      <c r="E42" s="5" t="s">
        <v>310</v>
      </c>
      <c r="F42" s="5" t="s">
        <v>109</v>
      </c>
      <c r="G42" s="5" t="str">
        <f t="shared" si="1"/>
        <v>" &amp; POSICIONAMENTO!B7 &amp; "</v>
      </c>
    </row>
    <row r="43">
      <c r="A43" s="5" t="s">
        <v>348</v>
      </c>
      <c r="B43" s="1" t="s">
        <v>8</v>
      </c>
      <c r="C43" s="1" t="s">
        <v>10</v>
      </c>
      <c r="D43" s="1" t="s">
        <v>11</v>
      </c>
      <c r="E43" s="5" t="s">
        <v>310</v>
      </c>
      <c r="F43" s="5" t="s">
        <v>116</v>
      </c>
      <c r="G43" s="5" t="str">
        <f t="shared" si="1"/>
        <v>" &amp; POSICIONAMENTO!C7 &amp; "</v>
      </c>
    </row>
    <row r="44">
      <c r="A44" s="5" t="s">
        <v>353</v>
      </c>
      <c r="B44" s="1" t="s">
        <v>8</v>
      </c>
      <c r="C44" s="1" t="s">
        <v>10</v>
      </c>
      <c r="D44" s="1" t="s">
        <v>11</v>
      </c>
      <c r="E44" s="5" t="s">
        <v>310</v>
      </c>
      <c r="F44" s="5" t="s">
        <v>125</v>
      </c>
      <c r="G44" s="5" t="str">
        <f t="shared" si="1"/>
        <v>" &amp; POSICIONAMENTO!D7 &amp; "</v>
      </c>
    </row>
    <row r="45">
      <c r="A45" s="5" t="s">
        <v>358</v>
      </c>
      <c r="B45" s="1" t="s">
        <v>8</v>
      </c>
      <c r="C45" s="1" t="s">
        <v>10</v>
      </c>
      <c r="D45" s="1" t="s">
        <v>11</v>
      </c>
      <c r="E45" s="5" t="s">
        <v>310</v>
      </c>
      <c r="F45" s="5" t="s">
        <v>134</v>
      </c>
      <c r="G45" s="5" t="str">
        <f t="shared" si="1"/>
        <v>" &amp; POSICIONAMENTO!E7 &amp; "</v>
      </c>
    </row>
    <row r="46">
      <c r="A46" s="5" t="s">
        <v>363</v>
      </c>
      <c r="B46" s="1" t="s">
        <v>8</v>
      </c>
      <c r="C46" s="1" t="s">
        <v>10</v>
      </c>
      <c r="D46" s="1" t="s">
        <v>11</v>
      </c>
      <c r="E46" s="5" t="s">
        <v>310</v>
      </c>
      <c r="F46" s="5" t="s">
        <v>137</v>
      </c>
      <c r="G46" s="5" t="str">
        <f t="shared" si="1"/>
        <v>" &amp; POSICIONAMENTO!F7 &amp; "</v>
      </c>
    </row>
    <row r="47">
      <c r="A47" s="5" t="s">
        <v>368</v>
      </c>
      <c r="B47" s="1" t="s">
        <v>8</v>
      </c>
      <c r="C47" s="1" t="s">
        <v>10</v>
      </c>
      <c r="D47" s="1" t="s">
        <v>11</v>
      </c>
      <c r="E47" s="5" t="s">
        <v>310</v>
      </c>
      <c r="F47" s="5" t="s">
        <v>139</v>
      </c>
      <c r="G47" s="5" t="str">
        <f t="shared" si="1"/>
        <v>" &amp; POSICIONAMENTO!G7 &amp; "</v>
      </c>
    </row>
    <row r="48">
      <c r="A48" s="5" t="s">
        <v>372</v>
      </c>
      <c r="B48" s="1" t="s">
        <v>8</v>
      </c>
      <c r="C48" s="1" t="s">
        <v>10</v>
      </c>
      <c r="D48" s="1" t="s">
        <v>11</v>
      </c>
      <c r="E48" s="5" t="s">
        <v>374</v>
      </c>
      <c r="F48" s="5" t="s">
        <v>375</v>
      </c>
      <c r="G48" s="5" t="str">
        <f t="shared" si="1"/>
        <v>" &amp; LINHA EDITORIAL!B2 &amp; "</v>
      </c>
    </row>
    <row r="49">
      <c r="A49" s="5" t="s">
        <v>376</v>
      </c>
      <c r="B49" s="1" t="s">
        <v>8</v>
      </c>
      <c r="C49" s="1" t="s">
        <v>10</v>
      </c>
      <c r="D49" s="1" t="s">
        <v>11</v>
      </c>
      <c r="E49" s="5" t="s">
        <v>374</v>
      </c>
      <c r="F49" s="5" t="s">
        <v>377</v>
      </c>
      <c r="G49" s="5" t="str">
        <f t="shared" si="1"/>
        <v>" &amp; LINHA EDITORIAL!C2 &amp; "</v>
      </c>
    </row>
    <row r="50">
      <c r="A50" s="5" t="s">
        <v>378</v>
      </c>
      <c r="B50" s="1" t="s">
        <v>8</v>
      </c>
      <c r="C50" s="1" t="s">
        <v>10</v>
      </c>
      <c r="D50" s="1" t="s">
        <v>11</v>
      </c>
      <c r="E50" s="5" t="s">
        <v>374</v>
      </c>
      <c r="F50" s="5" t="s">
        <v>379</v>
      </c>
      <c r="G50" s="5" t="str">
        <f t="shared" si="1"/>
        <v>" &amp; LINHA EDITORIAL!D2 &amp; "</v>
      </c>
    </row>
    <row r="51">
      <c r="A51" s="5" t="s">
        <v>380</v>
      </c>
      <c r="B51" s="1" t="s">
        <v>8</v>
      </c>
      <c r="C51" s="1" t="s">
        <v>10</v>
      </c>
      <c r="D51" s="1" t="s">
        <v>11</v>
      </c>
      <c r="E51" s="5" t="s">
        <v>374</v>
      </c>
      <c r="F51" s="5" t="s">
        <v>16</v>
      </c>
      <c r="G51" s="5" t="str">
        <f t="shared" si="1"/>
        <v>" &amp; LINHA EDITORIAL!B3 &amp; "</v>
      </c>
    </row>
    <row r="52">
      <c r="A52" s="5" t="s">
        <v>382</v>
      </c>
      <c r="B52" s="1" t="s">
        <v>8</v>
      </c>
      <c r="C52" s="1" t="s">
        <v>10</v>
      </c>
      <c r="D52" s="1" t="s">
        <v>11</v>
      </c>
      <c r="E52" s="5" t="s">
        <v>374</v>
      </c>
      <c r="F52" s="5" t="s">
        <v>386</v>
      </c>
      <c r="G52" s="5" t="str">
        <f t="shared" si="1"/>
        <v>" &amp; LINHA EDITORIAL!B4 &amp; "</v>
      </c>
    </row>
    <row r="53">
      <c r="A53" s="5" t="s">
        <v>389</v>
      </c>
      <c r="B53" s="1" t="s">
        <v>8</v>
      </c>
      <c r="C53" s="1" t="s">
        <v>10</v>
      </c>
      <c r="D53" s="1" t="s">
        <v>11</v>
      </c>
      <c r="E53" s="5" t="s">
        <v>374</v>
      </c>
      <c r="F53" s="5" t="s">
        <v>391</v>
      </c>
      <c r="G53" s="5" t="str">
        <f t="shared" si="1"/>
        <v>" &amp; LINHA EDITORIAL!B5 &amp; "</v>
      </c>
    </row>
    <row r="54">
      <c r="A54" s="5" t="s">
        <v>394</v>
      </c>
      <c r="B54" s="1" t="s">
        <v>8</v>
      </c>
      <c r="C54" s="1" t="s">
        <v>10</v>
      </c>
      <c r="D54" s="1" t="s">
        <v>11</v>
      </c>
      <c r="E54" s="5" t="s">
        <v>374</v>
      </c>
      <c r="F54" s="5" t="s">
        <v>51</v>
      </c>
      <c r="G54" s="5" t="str">
        <f t="shared" si="1"/>
        <v>" &amp; LINHA EDITORIAL!C3 &amp; "</v>
      </c>
    </row>
    <row r="55">
      <c r="A55" s="5" t="s">
        <v>399</v>
      </c>
      <c r="B55" s="1" t="s">
        <v>8</v>
      </c>
      <c r="C55" s="1" t="s">
        <v>10</v>
      </c>
      <c r="D55" s="1" t="s">
        <v>11</v>
      </c>
      <c r="E55" s="5" t="s">
        <v>374</v>
      </c>
      <c r="F55" s="5" t="s">
        <v>403</v>
      </c>
      <c r="G55" s="5" t="str">
        <f t="shared" si="1"/>
        <v>" &amp; LINHA EDITORIAL!C4 &amp; "</v>
      </c>
    </row>
    <row r="56">
      <c r="A56" s="5" t="s">
        <v>407</v>
      </c>
      <c r="B56" s="1" t="s">
        <v>8</v>
      </c>
      <c r="C56" s="1" t="s">
        <v>10</v>
      </c>
      <c r="D56" s="1" t="s">
        <v>11</v>
      </c>
      <c r="E56" s="5" t="s">
        <v>374</v>
      </c>
      <c r="F56" s="5" t="s">
        <v>411</v>
      </c>
      <c r="G56" s="5" t="str">
        <f t="shared" si="1"/>
        <v>" &amp; LINHA EDITORIAL!C5 &amp; "</v>
      </c>
    </row>
    <row r="57">
      <c r="A57" s="5" t="s">
        <v>415</v>
      </c>
      <c r="B57" s="1" t="s">
        <v>8</v>
      </c>
      <c r="C57" s="1" t="s">
        <v>10</v>
      </c>
      <c r="D57" s="1" t="s">
        <v>11</v>
      </c>
      <c r="E57" s="5" t="s">
        <v>374</v>
      </c>
      <c r="F57" s="5" t="s">
        <v>55</v>
      </c>
      <c r="G57" s="5" t="str">
        <f t="shared" si="1"/>
        <v>" &amp; LINHA EDITORIAL!D3 &amp; "</v>
      </c>
    </row>
    <row r="58">
      <c r="A58" s="5" t="s">
        <v>423</v>
      </c>
      <c r="B58" s="1" t="s">
        <v>8</v>
      </c>
      <c r="C58" s="1" t="s">
        <v>10</v>
      </c>
      <c r="D58" s="1" t="s">
        <v>11</v>
      </c>
      <c r="E58" s="5" t="s">
        <v>374</v>
      </c>
      <c r="F58" s="5" t="s">
        <v>429</v>
      </c>
      <c r="G58" s="5" t="str">
        <f t="shared" si="1"/>
        <v>" &amp; LINHA EDITORIAL!D4 &amp; "</v>
      </c>
    </row>
    <row r="59">
      <c r="A59" s="5" t="s">
        <v>432</v>
      </c>
      <c r="B59" s="1" t="s">
        <v>8</v>
      </c>
      <c r="C59" s="1" t="s">
        <v>10</v>
      </c>
      <c r="D59" s="1" t="s">
        <v>11</v>
      </c>
      <c r="E59" s="5" t="s">
        <v>374</v>
      </c>
      <c r="F59" s="5" t="s">
        <v>437</v>
      </c>
      <c r="G59" s="5" t="str">
        <f t="shared" si="1"/>
        <v>" &amp; LINHA EDITORIAL!D5 &amp; "</v>
      </c>
    </row>
    <row r="60">
      <c r="A60" s="5" t="s">
        <v>439</v>
      </c>
      <c r="B60" s="1" t="s">
        <v>8</v>
      </c>
      <c r="C60" s="1" t="s">
        <v>10</v>
      </c>
      <c r="D60" s="1" t="s">
        <v>11</v>
      </c>
      <c r="E60" s="5" t="s">
        <v>374</v>
      </c>
      <c r="F60" s="5" t="s">
        <v>442</v>
      </c>
      <c r="G60" s="5" t="str">
        <f t="shared" si="1"/>
        <v>" &amp; LINHA EDITORIAL!B9 &amp; "</v>
      </c>
    </row>
    <row r="61">
      <c r="A61" s="5" t="s">
        <v>445</v>
      </c>
      <c r="B61" s="1" t="s">
        <v>8</v>
      </c>
      <c r="C61" s="1" t="s">
        <v>10</v>
      </c>
      <c r="D61" s="1" t="s">
        <v>11</v>
      </c>
      <c r="E61" s="5" t="s">
        <v>374</v>
      </c>
      <c r="F61" s="5" t="s">
        <v>449</v>
      </c>
      <c r="G61" s="5" t="str">
        <f t="shared" si="1"/>
        <v>" &amp; LINHA EDITORIAL!B10 &amp; "</v>
      </c>
    </row>
    <row r="62">
      <c r="A62" s="5" t="s">
        <v>452</v>
      </c>
      <c r="B62" s="1" t="s">
        <v>8</v>
      </c>
      <c r="C62" s="1" t="s">
        <v>10</v>
      </c>
      <c r="D62" s="1" t="s">
        <v>11</v>
      </c>
      <c r="E62" s="5" t="s">
        <v>374</v>
      </c>
      <c r="F62" s="5" t="s">
        <v>150</v>
      </c>
      <c r="G62" s="5" t="str">
        <f t="shared" si="1"/>
        <v>" &amp; LINHA EDITORIAL!B11 &amp; "</v>
      </c>
    </row>
    <row r="63">
      <c r="A63" s="5" t="s">
        <v>457</v>
      </c>
      <c r="B63" s="1" t="s">
        <v>8</v>
      </c>
      <c r="C63" s="1" t="s">
        <v>10</v>
      </c>
      <c r="D63" s="1" t="s">
        <v>11</v>
      </c>
      <c r="E63" s="5" t="s">
        <v>374</v>
      </c>
      <c r="F63" s="5" t="s">
        <v>461</v>
      </c>
      <c r="G63" s="5" t="str">
        <f t="shared" si="1"/>
        <v>" &amp; LINHA EDITORIAL!C9 &amp; "</v>
      </c>
    </row>
    <row r="64">
      <c r="A64" s="5" t="s">
        <v>464</v>
      </c>
      <c r="B64" s="1" t="s">
        <v>8</v>
      </c>
      <c r="C64" s="1" t="s">
        <v>10</v>
      </c>
      <c r="D64" s="1" t="s">
        <v>11</v>
      </c>
      <c r="E64" s="5" t="s">
        <v>374</v>
      </c>
      <c r="F64" s="5" t="s">
        <v>468</v>
      </c>
      <c r="G64" s="5" t="str">
        <f t="shared" si="1"/>
        <v>" &amp; LINHA EDITORIAL!C10 &amp; "</v>
      </c>
    </row>
    <row r="65">
      <c r="A65" s="5" t="s">
        <v>471</v>
      </c>
      <c r="B65" s="1" t="s">
        <v>8</v>
      </c>
      <c r="C65" s="1" t="s">
        <v>10</v>
      </c>
      <c r="D65" s="1" t="s">
        <v>11</v>
      </c>
      <c r="E65" s="5" t="s">
        <v>374</v>
      </c>
      <c r="F65" s="5" t="s">
        <v>162</v>
      </c>
      <c r="G65" s="5" t="str">
        <f t="shared" si="1"/>
        <v>" &amp; LINHA EDITORIAL!C11 &amp; "</v>
      </c>
    </row>
    <row r="66">
      <c r="A66" s="5" t="s">
        <v>478</v>
      </c>
      <c r="B66" s="1" t="s">
        <v>8</v>
      </c>
      <c r="C66" s="1" t="s">
        <v>10</v>
      </c>
      <c r="D66" s="1" t="s">
        <v>11</v>
      </c>
      <c r="E66" s="5" t="s">
        <v>374</v>
      </c>
      <c r="F66" s="5" t="s">
        <v>482</v>
      </c>
      <c r="G66" s="5" t="str">
        <f t="shared" si="1"/>
        <v>" &amp; LINHA EDITORIAL!D9 &amp; "</v>
      </c>
    </row>
    <row r="67">
      <c r="A67" s="5" t="s">
        <v>485</v>
      </c>
      <c r="B67" s="1" t="s">
        <v>8</v>
      </c>
      <c r="C67" s="1" t="s">
        <v>10</v>
      </c>
      <c r="D67" s="1" t="s">
        <v>11</v>
      </c>
      <c r="E67" s="5" t="s">
        <v>374</v>
      </c>
      <c r="F67" s="5" t="s">
        <v>490</v>
      </c>
      <c r="G67" s="5" t="str">
        <f t="shared" si="1"/>
        <v>" &amp; LINHA EDITORIAL!D10 &amp; "</v>
      </c>
    </row>
    <row r="68">
      <c r="A68" s="5" t="s">
        <v>494</v>
      </c>
      <c r="B68" s="1" t="s">
        <v>8</v>
      </c>
      <c r="C68" s="1" t="s">
        <v>10</v>
      </c>
      <c r="D68" s="1" t="s">
        <v>11</v>
      </c>
      <c r="E68" s="5" t="s">
        <v>374</v>
      </c>
      <c r="F68" s="5" t="s">
        <v>169</v>
      </c>
      <c r="G68" s="5" t="str">
        <f t="shared" si="1"/>
        <v>" &amp; LINHA EDITORIAL!D11 &amp; "</v>
      </c>
    </row>
    <row r="69">
      <c r="A69" s="5" t="s">
        <v>501</v>
      </c>
      <c r="B69" s="1" t="s">
        <v>8</v>
      </c>
      <c r="C69" s="1" t="s">
        <v>10</v>
      </c>
      <c r="D69" s="1" t="s">
        <v>11</v>
      </c>
      <c r="E69" s="5" t="s">
        <v>374</v>
      </c>
      <c r="F69" s="5" t="s">
        <v>205</v>
      </c>
      <c r="G69" s="5" t="str">
        <f t="shared" si="1"/>
        <v>" &amp; LINHA EDITORIAL!B15 &amp; "</v>
      </c>
    </row>
    <row r="70">
      <c r="A70" s="5" t="s">
        <v>509</v>
      </c>
      <c r="B70" s="1" t="s">
        <v>8</v>
      </c>
      <c r="C70" s="1" t="s">
        <v>10</v>
      </c>
      <c r="D70" s="1" t="s">
        <v>11</v>
      </c>
      <c r="E70" s="5" t="s">
        <v>374</v>
      </c>
      <c r="F70" s="5" t="s">
        <v>513</v>
      </c>
      <c r="G70" s="5" t="str">
        <f t="shared" si="1"/>
        <v>" &amp; LINHA EDITORIAL!B16 &amp; "</v>
      </c>
    </row>
    <row r="71">
      <c r="A71" s="5" t="s">
        <v>517</v>
      </c>
      <c r="B71" s="1" t="s">
        <v>8</v>
      </c>
      <c r="C71" s="1" t="s">
        <v>10</v>
      </c>
      <c r="D71" s="1" t="s">
        <v>11</v>
      </c>
      <c r="E71" s="5" t="s">
        <v>374</v>
      </c>
      <c r="F71" s="5" t="s">
        <v>521</v>
      </c>
      <c r="G71" s="5" t="str">
        <f t="shared" si="1"/>
        <v>" &amp; LINHA EDITORIAL!B17 &amp; "</v>
      </c>
    </row>
    <row r="72">
      <c r="A72" s="5" t="s">
        <v>523</v>
      </c>
      <c r="B72" s="1" t="s">
        <v>8</v>
      </c>
      <c r="C72" s="1" t="s">
        <v>10</v>
      </c>
      <c r="D72" s="1" t="s">
        <v>11</v>
      </c>
      <c r="E72" s="5" t="s">
        <v>374</v>
      </c>
      <c r="F72" s="5" t="s">
        <v>211</v>
      </c>
      <c r="G72" s="5" t="str">
        <f t="shared" si="1"/>
        <v>" &amp; LINHA EDITORIAL!C15 &amp; "</v>
      </c>
    </row>
    <row r="73">
      <c r="A73" s="5" t="s">
        <v>529</v>
      </c>
      <c r="B73" s="1" t="s">
        <v>8</v>
      </c>
      <c r="C73" s="1" t="s">
        <v>10</v>
      </c>
      <c r="D73" s="1" t="s">
        <v>11</v>
      </c>
      <c r="E73" s="5" t="s">
        <v>374</v>
      </c>
      <c r="F73" s="5" t="s">
        <v>533</v>
      </c>
      <c r="G73" s="5" t="str">
        <f t="shared" si="1"/>
        <v>" &amp; LINHA EDITORIAL!C16 &amp; "</v>
      </c>
    </row>
    <row r="74">
      <c r="A74" s="5" t="s">
        <v>535</v>
      </c>
      <c r="B74" s="1" t="s">
        <v>8</v>
      </c>
      <c r="C74" s="1" t="s">
        <v>10</v>
      </c>
      <c r="D74" s="1" t="s">
        <v>11</v>
      </c>
      <c r="E74" s="5" t="s">
        <v>374</v>
      </c>
      <c r="F74" s="5" t="s">
        <v>541</v>
      </c>
      <c r="G74" s="5" t="str">
        <f t="shared" si="1"/>
        <v>" &amp; LINHA EDITORIAL!C17 &amp; "</v>
      </c>
    </row>
    <row r="75">
      <c r="A75" s="5" t="s">
        <v>546</v>
      </c>
      <c r="B75" s="1" t="s">
        <v>8</v>
      </c>
      <c r="C75" s="1" t="s">
        <v>10</v>
      </c>
      <c r="D75" s="1" t="s">
        <v>11</v>
      </c>
      <c r="E75" s="5" t="s">
        <v>374</v>
      </c>
      <c r="F75" s="5" t="s">
        <v>214</v>
      </c>
      <c r="G75" s="5" t="str">
        <f t="shared" si="1"/>
        <v>" &amp; LINHA EDITORIAL!D15 &amp; "</v>
      </c>
    </row>
    <row r="76">
      <c r="A76" s="5" t="s">
        <v>558</v>
      </c>
      <c r="B76" s="1" t="s">
        <v>8</v>
      </c>
      <c r="C76" s="1" t="s">
        <v>10</v>
      </c>
      <c r="D76" s="1" t="s">
        <v>11</v>
      </c>
      <c r="E76" s="5" t="s">
        <v>374</v>
      </c>
      <c r="F76" s="5" t="s">
        <v>566</v>
      </c>
      <c r="G76" s="5" t="str">
        <f t="shared" si="1"/>
        <v>" &amp; LINHA EDITORIAL!D16 &amp; "</v>
      </c>
    </row>
    <row r="77">
      <c r="A77" s="5" t="s">
        <v>571</v>
      </c>
      <c r="B77" s="1" t="s">
        <v>8</v>
      </c>
      <c r="C77" s="1" t="s">
        <v>10</v>
      </c>
      <c r="D77" s="1" t="s">
        <v>11</v>
      </c>
      <c r="E77" s="5" t="s">
        <v>374</v>
      </c>
      <c r="F77" s="5" t="s">
        <v>578</v>
      </c>
      <c r="G77" s="5" t="str">
        <f t="shared" si="1"/>
        <v>" &amp; LINHA EDITORIAL!D17 &amp; "</v>
      </c>
    </row>
    <row r="78">
      <c r="A78" s="5" t="s">
        <v>582</v>
      </c>
      <c r="B78" s="1" t="s">
        <v>8</v>
      </c>
      <c r="C78" s="1" t="s">
        <v>10</v>
      </c>
      <c r="D78" s="1" t="s">
        <v>11</v>
      </c>
      <c r="E78" s="5" t="s">
        <v>374</v>
      </c>
      <c r="F78" s="5" t="s">
        <v>589</v>
      </c>
      <c r="G78" s="5" t="str">
        <f t="shared" si="1"/>
        <v>" &amp; LINHA EDITORIAL!B21 &amp; "</v>
      </c>
    </row>
    <row r="79">
      <c r="A79" s="5" t="s">
        <v>594</v>
      </c>
      <c r="B79" s="1" t="s">
        <v>8</v>
      </c>
      <c r="C79" s="1" t="s">
        <v>10</v>
      </c>
      <c r="D79" s="1" t="s">
        <v>11</v>
      </c>
      <c r="E79" s="5" t="s">
        <v>374</v>
      </c>
      <c r="F79" s="5" t="s">
        <v>603</v>
      </c>
      <c r="G79" s="5" t="str">
        <f t="shared" si="1"/>
        <v>" &amp; LINHA EDITORIAL!B22 &amp; "</v>
      </c>
    </row>
    <row r="80">
      <c r="A80" s="5" t="s">
        <v>608</v>
      </c>
      <c r="B80" s="1" t="s">
        <v>8</v>
      </c>
      <c r="C80" s="1" t="s">
        <v>10</v>
      </c>
      <c r="D80" s="1" t="s">
        <v>11</v>
      </c>
      <c r="E80" s="5" t="s">
        <v>374</v>
      </c>
      <c r="F80" s="5" t="s">
        <v>616</v>
      </c>
      <c r="G80" s="5" t="str">
        <f t="shared" si="1"/>
        <v>" &amp; LINHA EDITORIAL!B23 &amp; "</v>
      </c>
    </row>
    <row r="81">
      <c r="A81" s="5" t="s">
        <v>620</v>
      </c>
      <c r="B81" s="1" t="s">
        <v>8</v>
      </c>
      <c r="C81" s="1" t="s">
        <v>10</v>
      </c>
      <c r="D81" s="1" t="s">
        <v>11</v>
      </c>
      <c r="E81" s="5" t="s">
        <v>374</v>
      </c>
      <c r="F81" s="5" t="s">
        <v>626</v>
      </c>
      <c r="G81" s="5" t="str">
        <f t="shared" si="1"/>
        <v>" &amp; LINHA EDITORIAL!C21 &amp; "</v>
      </c>
    </row>
    <row r="82">
      <c r="A82" s="5" t="s">
        <v>631</v>
      </c>
      <c r="B82" s="1" t="s">
        <v>8</v>
      </c>
      <c r="C82" s="1" t="s">
        <v>10</v>
      </c>
      <c r="D82" s="1" t="s">
        <v>11</v>
      </c>
      <c r="E82" s="5" t="s">
        <v>374</v>
      </c>
      <c r="F82" s="5" t="s">
        <v>638</v>
      </c>
      <c r="G82" s="5" t="str">
        <f t="shared" si="1"/>
        <v>" &amp; LINHA EDITORIAL!C22 &amp; "</v>
      </c>
    </row>
    <row r="83">
      <c r="A83" s="5" t="s">
        <v>642</v>
      </c>
      <c r="B83" s="1" t="s">
        <v>8</v>
      </c>
      <c r="C83" s="1" t="s">
        <v>10</v>
      </c>
      <c r="D83" s="1" t="s">
        <v>11</v>
      </c>
      <c r="E83" s="5" t="s">
        <v>374</v>
      </c>
      <c r="F83" s="5" t="s">
        <v>647</v>
      </c>
      <c r="G83" s="5" t="str">
        <f t="shared" si="1"/>
        <v>" &amp; LINHA EDITORIAL!C23 &amp; "</v>
      </c>
    </row>
    <row r="84">
      <c r="A84" s="5" t="s">
        <v>650</v>
      </c>
      <c r="B84" s="1" t="s">
        <v>8</v>
      </c>
      <c r="C84" s="1" t="s">
        <v>10</v>
      </c>
      <c r="D84" s="1" t="s">
        <v>11</v>
      </c>
      <c r="E84" s="5" t="s">
        <v>374</v>
      </c>
      <c r="F84" s="5" t="s">
        <v>655</v>
      </c>
      <c r="G84" s="5" t="str">
        <f t="shared" si="1"/>
        <v>" &amp; LINHA EDITORIAL!D21 &amp; "</v>
      </c>
    </row>
    <row r="85">
      <c r="A85" s="5" t="s">
        <v>658</v>
      </c>
      <c r="B85" s="1" t="s">
        <v>8</v>
      </c>
      <c r="C85" s="1" t="s">
        <v>10</v>
      </c>
      <c r="D85" s="1" t="s">
        <v>11</v>
      </c>
      <c r="E85" s="5" t="s">
        <v>374</v>
      </c>
      <c r="F85" s="5" t="s">
        <v>663</v>
      </c>
      <c r="G85" s="5" t="str">
        <f t="shared" si="1"/>
        <v>" &amp; LINHA EDITORIAL!D22 &amp; "</v>
      </c>
    </row>
    <row r="86">
      <c r="A86" s="5" t="s">
        <v>667</v>
      </c>
      <c r="B86" s="1" t="s">
        <v>8</v>
      </c>
      <c r="C86" s="1" t="s">
        <v>10</v>
      </c>
      <c r="D86" s="1" t="s">
        <v>11</v>
      </c>
      <c r="E86" s="5" t="s">
        <v>374</v>
      </c>
      <c r="F86" s="5" t="s">
        <v>672</v>
      </c>
      <c r="G86" s="5" t="str">
        <f t="shared" si="1"/>
        <v>" &amp; LINHA EDITORIAL!D23 &amp; "</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5"/>
    <col customWidth="1" min="2" max="7" width="47.75"/>
  </cols>
  <sheetData>
    <row r="1" ht="27.0" customHeight="1">
      <c r="A1" s="2"/>
      <c r="B1" s="3" t="s">
        <v>2</v>
      </c>
    </row>
    <row r="2" ht="27.0" customHeight="1">
      <c r="A2" s="6" t="s">
        <v>7</v>
      </c>
      <c r="B2" s="8" t="s">
        <v>12</v>
      </c>
      <c r="C2" s="8" t="s">
        <v>18</v>
      </c>
      <c r="D2" s="8" t="s">
        <v>22</v>
      </c>
      <c r="E2" s="8" t="s">
        <v>26</v>
      </c>
      <c r="F2" s="8" t="s">
        <v>30</v>
      </c>
      <c r="G2" s="8" t="s">
        <v>34</v>
      </c>
    </row>
    <row r="3" ht="54.0" customHeight="1">
      <c r="A3" s="6" t="s">
        <v>41</v>
      </c>
      <c r="B3" s="14" t="s">
        <v>46</v>
      </c>
      <c r="C3" s="14" t="s">
        <v>49</v>
      </c>
      <c r="D3" s="14" t="s">
        <v>52</v>
      </c>
      <c r="E3" s="14" t="s">
        <v>63</v>
      </c>
      <c r="F3" s="14" t="s">
        <v>68</v>
      </c>
      <c r="G3" s="14" t="s">
        <v>76</v>
      </c>
    </row>
    <row r="4" ht="27.0" customHeight="1">
      <c r="A4" s="12"/>
      <c r="B4" s="12"/>
      <c r="C4" s="12"/>
      <c r="D4" s="12"/>
      <c r="E4" s="12"/>
      <c r="F4" s="12"/>
      <c r="G4" s="12"/>
    </row>
    <row r="5" ht="27.0" customHeight="1">
      <c r="A5" s="2"/>
      <c r="B5" s="3" t="s">
        <v>81</v>
      </c>
    </row>
    <row r="6" ht="27.0" customHeight="1">
      <c r="A6" s="6" t="s">
        <v>7</v>
      </c>
      <c r="B6" s="8" t="s">
        <v>84</v>
      </c>
      <c r="C6" s="8" t="s">
        <v>87</v>
      </c>
      <c r="D6" s="8" t="s">
        <v>88</v>
      </c>
      <c r="E6" s="8" t="s">
        <v>89</v>
      </c>
      <c r="F6" s="8" t="s">
        <v>91</v>
      </c>
      <c r="G6" s="8" t="s">
        <v>93</v>
      </c>
    </row>
    <row r="7" ht="54.0" customHeight="1">
      <c r="A7" s="6" t="s">
        <v>41</v>
      </c>
      <c r="B7" s="14" t="s">
        <v>98</v>
      </c>
      <c r="C7" s="14" t="s">
        <v>106</v>
      </c>
      <c r="D7" s="14" t="s">
        <v>115</v>
      </c>
      <c r="E7" s="14" t="s">
        <v>118</v>
      </c>
      <c r="F7" s="14" t="s">
        <v>120</v>
      </c>
      <c r="G7" s="14" t="s">
        <v>123</v>
      </c>
    </row>
    <row r="8" ht="27.0" customHeight="1">
      <c r="A8" s="12"/>
      <c r="B8" s="12"/>
      <c r="C8" s="12"/>
      <c r="D8" s="12"/>
      <c r="E8" s="12"/>
      <c r="F8" s="12"/>
      <c r="G8" s="12"/>
    </row>
  </sheetData>
  <mergeCells count="2">
    <mergeCell ref="B1:G1"/>
    <mergeCell ref="B5:G5"/>
  </mergeCells>
  <dataValidations>
    <dataValidation type="list" allowBlank="1" showErrorMessage="1" sqref="G3">
      <formula1>"Não Temos Sazonalidade,Temos Mês dos Namorados,Temos Natal,Temos Ano Novo,Temos Semana das Crianças,Temos Black Friday,Temos Páscoa,Temos Dia das Mães,Temos Dia dos Pais,Temos Carnaval,Temos Férias de Início de Ano"</formula1>
    </dataValidation>
    <dataValidation type="list" allowBlank="1" showErrorMessage="1" sqref="D3">
      <formula1>"Negócio Local (loja física, restaurante, clínica etc.),Serviço B2B (consultoria, agência, assessoria etc.),Serviço B2C (cabeleireiro, personal, dentista etc.),Indústria/Fabricante,E-commerce (próprio ou marketplaces),Franquia (sou franqueado ou franqueado"&amp;"r),Infoproduto (cursos, mentorias, etc.),SaaS / Software / App"</formula1>
    </dataValidation>
    <dataValidation type="list" allowBlank="1" showErrorMessage="1" sqref="E7">
      <formula1>"3 Conteúdos por Dia,1 Conteúdo por Dia,5 Conteúdos por Semana,4 Conteúdos por Semana,3 Conteúdos por Semana,2 Conteúdos por Semana,1 Conteúdo por Semana"</formula1>
    </dataValidation>
    <dataValidation type="list" allowBlank="1" showErrorMessage="1" sqref="C7">
      <formula1>"Extremamente simples – como se estivesse explicando para leigos,Simples com pitadas técnicas – com analogias e exemplos,Técnica e objetiva – para especialistas do setor,Técnica com storytelling – para engajar sem perder profundidade,Editorial – estilo art"&amp;"igo, ensaio, opinião,Técnica com analogias — para quem é especialista mas quer engajar,Conversa de bastidor — como se estivesse numa reunião fechada,Metafórico e conceitual — para provocar reflexão e virar chave,Frameworks e sínteses — direto no osso,Imer"&amp;"sivo e opinativo — como uma aula interessante,Simples e objetiva, com linguagem regional e foco em confiança e tradição"</formula1>
    </dataValidation>
    <dataValidation type="list" allowBlank="1" showErrorMessage="1" sqref="B7">
      <formula1>"Direto ao ponto,Educativo e paciente,Provocativo e desafiador,Inspirador e emocional,Técnico e preciso,Popular e acessível,Brincalhão e leve,Elegante e sofisticado,Conservador e formal,Visionário e provocador,Didático e acolhedor,Direto e sem filtro,Analí"&amp;"tico e racional,Descontraído e humano,Próximo, acolhedor e tradicional"</formula1>
    </dataValidation>
    <dataValidation type="list" allowBlank="1" showErrorMessage="1" sqref="D7">
      <formula1>"Que está atrasado e precisa agir,Que entendeu algo que ninguém explicou antes,Que confia em você para resolver o problema,Que quer te seguir, aprender mais e comprar em breve,Que finalmente encontrou clareza,Que sua empresa é autoridade máxima no tema,Que"&amp;" você verbalizou o que ele já sentia e não sabia dizer,Que perdeu tempo acreditando em mentiras do mercado,Que agora entende o jogo por trás do jogo,Que tem em você uma referência de clareza e coragem,Que precisa decidir entre continuar estagnado ou agir "&amp;"agora,Que encontrou um restaurante de confiança, com tradição, atendimento próximo e comida de qualidade para compartilhar com a família sem preocupação."</formula1>
    </dataValidation>
    <dataValidation type="list" allowBlank="1" showErrorMessage="1" sqref="E3">
      <formula1>"Alimentação,Moda &amp; Estilo,Beleza &amp; Estética,Saúde &amp; Bem-estar,Educação &amp; Treinamento,Serviços Profissionais,Marketing &amp; Consultoria,Varejo físico,E-commerce de produtos físicos,Infoproduto &amp; Produto digital,SaaS &amp; Tecnologia,Indústria ou Produção,Distribu"&amp;"idor ou Atacado,Serviços locais operacionais,Construção &amp; Imobiliário,Eventos &amp; Entretenimento,Pet,Agro,Transportes &amp; Logística,Turismo &amp; Hotelaria"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5"/>
    <col customWidth="1" min="2" max="9" width="28.5"/>
  </cols>
  <sheetData>
    <row r="1" ht="25.5" customHeight="1">
      <c r="A1" s="2"/>
      <c r="B1" s="3" t="s">
        <v>6</v>
      </c>
      <c r="I1" s="7"/>
    </row>
    <row r="2" ht="21.0" customHeight="1">
      <c r="A2" s="6" t="s">
        <v>7</v>
      </c>
      <c r="B2" s="8" t="s">
        <v>5</v>
      </c>
      <c r="C2" s="8" t="s">
        <v>20</v>
      </c>
      <c r="D2" s="8" t="s">
        <v>23</v>
      </c>
      <c r="E2" s="8" t="s">
        <v>25</v>
      </c>
      <c r="F2" s="8" t="s">
        <v>28</v>
      </c>
      <c r="G2" s="8" t="s">
        <v>32</v>
      </c>
      <c r="H2" s="8" t="s">
        <v>36</v>
      </c>
      <c r="I2" s="11"/>
    </row>
    <row r="3">
      <c r="A3" s="6" t="s">
        <v>41</v>
      </c>
      <c r="B3" s="13" t="s">
        <v>42</v>
      </c>
      <c r="C3" s="13" t="s">
        <v>43</v>
      </c>
      <c r="D3" s="13" t="s">
        <v>44</v>
      </c>
      <c r="E3" s="13" t="s">
        <v>45</v>
      </c>
      <c r="F3" s="13" t="s">
        <v>47</v>
      </c>
      <c r="G3" s="13" t="s">
        <v>48</v>
      </c>
      <c r="H3" s="13" t="s">
        <v>50</v>
      </c>
      <c r="I3" s="15"/>
    </row>
    <row r="4">
      <c r="A4" s="12"/>
      <c r="B4" s="12"/>
      <c r="C4" s="12"/>
      <c r="D4" s="12"/>
      <c r="E4" s="12"/>
      <c r="F4" s="12"/>
      <c r="G4" s="12"/>
      <c r="H4" s="12"/>
      <c r="I4" s="12"/>
    </row>
    <row r="5" ht="25.5" customHeight="1">
      <c r="A5" s="2"/>
      <c r="B5" s="3" t="s">
        <v>53</v>
      </c>
      <c r="H5" s="16" t="s">
        <v>54</v>
      </c>
    </row>
    <row r="6" ht="21.0" customHeight="1">
      <c r="A6" s="6" t="s">
        <v>7</v>
      </c>
      <c r="B6" s="8" t="s">
        <v>62</v>
      </c>
      <c r="C6" s="8" t="s">
        <v>65</v>
      </c>
      <c r="D6" s="8" t="s">
        <v>66</v>
      </c>
      <c r="E6" s="8" t="s">
        <v>70</v>
      </c>
      <c r="F6" s="8" t="s">
        <v>73</v>
      </c>
      <c r="G6" s="8" t="s">
        <v>74</v>
      </c>
      <c r="H6" s="17" t="s">
        <v>75</v>
      </c>
    </row>
    <row r="7">
      <c r="A7" s="6" t="s">
        <v>41</v>
      </c>
      <c r="B7" s="13" t="s">
        <v>77</v>
      </c>
      <c r="C7" s="13" t="s">
        <v>79</v>
      </c>
      <c r="D7" s="13" t="s">
        <v>80</v>
      </c>
      <c r="E7" s="13" t="s">
        <v>82</v>
      </c>
      <c r="F7" s="13" t="s">
        <v>83</v>
      </c>
      <c r="G7" s="13" t="s">
        <v>85</v>
      </c>
      <c r="H7" s="18" t="s">
        <v>95</v>
      </c>
    </row>
    <row r="8">
      <c r="A8" s="12"/>
      <c r="B8" s="12"/>
      <c r="C8" s="12"/>
      <c r="D8" s="12"/>
      <c r="E8" s="12"/>
      <c r="F8" s="12"/>
      <c r="G8" s="12"/>
      <c r="H8" s="12"/>
      <c r="I8" s="12"/>
    </row>
    <row r="9" ht="25.5" customHeight="1">
      <c r="A9" s="2"/>
      <c r="B9" s="19" t="s">
        <v>99</v>
      </c>
      <c r="C9" s="20"/>
      <c r="D9" s="21"/>
      <c r="E9" s="19" t="s">
        <v>105</v>
      </c>
      <c r="F9" s="20"/>
      <c r="G9" s="20"/>
      <c r="H9" s="21"/>
      <c r="I9" s="7"/>
    </row>
    <row r="10" ht="21.0" customHeight="1">
      <c r="A10" s="6" t="s">
        <v>7</v>
      </c>
      <c r="B10" s="17" t="s">
        <v>107</v>
      </c>
      <c r="C10" s="8" t="s">
        <v>108</v>
      </c>
      <c r="D10" s="22" t="s">
        <v>110</v>
      </c>
      <c r="E10" s="17" t="s">
        <v>111</v>
      </c>
      <c r="F10" s="8" t="s">
        <v>112</v>
      </c>
      <c r="G10" s="8" t="s">
        <v>113</v>
      </c>
      <c r="H10" s="22" t="s">
        <v>114</v>
      </c>
      <c r="I10" s="11"/>
    </row>
    <row r="11">
      <c r="A11" s="6" t="s">
        <v>41</v>
      </c>
      <c r="B11" s="23" t="s">
        <v>117</v>
      </c>
      <c r="C11" s="24" t="s">
        <v>122</v>
      </c>
      <c r="D11" s="25" t="s">
        <v>130</v>
      </c>
      <c r="E11" s="23" t="s">
        <v>133</v>
      </c>
      <c r="F11" s="24" t="s">
        <v>135</v>
      </c>
      <c r="G11" s="24" t="s">
        <v>136</v>
      </c>
      <c r="H11" s="25" t="s">
        <v>138</v>
      </c>
      <c r="I11" s="15"/>
    </row>
    <row r="12">
      <c r="A12" s="12"/>
      <c r="B12" s="12"/>
      <c r="C12" s="12"/>
      <c r="D12" s="12"/>
      <c r="E12" s="12"/>
      <c r="F12" s="12"/>
      <c r="G12" s="12"/>
      <c r="H12" s="12"/>
      <c r="I12" s="12"/>
    </row>
    <row r="13" ht="25.5" customHeight="1">
      <c r="A13" s="2"/>
      <c r="B13" s="3" t="s">
        <v>140</v>
      </c>
      <c r="H13" s="7"/>
      <c r="I13" s="7"/>
    </row>
    <row r="14" ht="21.0" customHeight="1">
      <c r="A14" s="6" t="s">
        <v>7</v>
      </c>
      <c r="B14" s="8" t="s">
        <v>143</v>
      </c>
      <c r="C14" s="8" t="s">
        <v>144</v>
      </c>
      <c r="D14" s="8" t="s">
        <v>146</v>
      </c>
      <c r="E14" s="8" t="s">
        <v>148</v>
      </c>
      <c r="F14" s="8" t="s">
        <v>151</v>
      </c>
      <c r="G14" s="8" t="s">
        <v>153</v>
      </c>
      <c r="H14" s="11"/>
      <c r="I14" s="11"/>
    </row>
    <row r="15">
      <c r="A15" s="6" t="s">
        <v>41</v>
      </c>
      <c r="B15" s="13" t="s">
        <v>157</v>
      </c>
      <c r="C15" s="13" t="s">
        <v>160</v>
      </c>
      <c r="D15" s="13" t="s">
        <v>166</v>
      </c>
      <c r="E15" s="13" t="s">
        <v>167</v>
      </c>
      <c r="F15" s="13" t="s">
        <v>168</v>
      </c>
      <c r="G15" s="13" t="s">
        <v>171</v>
      </c>
      <c r="H15" s="15"/>
      <c r="I15" s="15"/>
    </row>
    <row r="16">
      <c r="A16" s="12"/>
      <c r="B16" s="12"/>
      <c r="C16" s="12"/>
      <c r="D16" s="12"/>
      <c r="E16" s="12"/>
      <c r="F16" s="12"/>
      <c r="G16" s="12"/>
      <c r="H16" s="12"/>
      <c r="I16" s="12"/>
    </row>
    <row r="17" ht="25.5" customHeight="1">
      <c r="A17" s="2"/>
      <c r="B17" s="19" t="s">
        <v>176</v>
      </c>
      <c r="C17" s="20"/>
      <c r="D17" s="20"/>
      <c r="E17" s="21"/>
      <c r="F17" s="3" t="s">
        <v>181</v>
      </c>
    </row>
    <row r="18" ht="21.0" customHeight="1">
      <c r="A18" s="6" t="s">
        <v>7</v>
      </c>
      <c r="B18" s="17" t="s">
        <v>185</v>
      </c>
      <c r="C18" s="8" t="s">
        <v>186</v>
      </c>
      <c r="D18" s="8" t="s">
        <v>187</v>
      </c>
      <c r="E18" s="22" t="s">
        <v>188</v>
      </c>
      <c r="F18" s="8" t="s">
        <v>189</v>
      </c>
      <c r="G18" s="8" t="s">
        <v>74</v>
      </c>
      <c r="H18" s="8" t="s">
        <v>191</v>
      </c>
      <c r="I18" s="8" t="s">
        <v>193</v>
      </c>
    </row>
    <row r="19">
      <c r="A19" s="6" t="s">
        <v>41</v>
      </c>
      <c r="B19" s="23" t="s">
        <v>194</v>
      </c>
      <c r="C19" s="24" t="s">
        <v>195</v>
      </c>
      <c r="D19" s="24" t="s">
        <v>199</v>
      </c>
      <c r="E19" s="24" t="s">
        <v>203</v>
      </c>
      <c r="F19" s="13" t="s">
        <v>207</v>
      </c>
      <c r="G19" s="13" t="s">
        <v>209</v>
      </c>
      <c r="H19" s="13" t="s">
        <v>210</v>
      </c>
      <c r="I19" s="13" t="s">
        <v>213</v>
      </c>
    </row>
    <row r="20">
      <c r="A20" s="12"/>
      <c r="B20" s="12"/>
      <c r="C20" s="12"/>
      <c r="D20" s="12"/>
      <c r="E20" s="12"/>
      <c r="F20" s="12"/>
      <c r="G20" s="12"/>
      <c r="H20" s="12"/>
      <c r="I20" s="12"/>
    </row>
  </sheetData>
  <mergeCells count="10">
    <mergeCell ref="B13:G13"/>
    <mergeCell ref="B17:E17"/>
    <mergeCell ref="F17:I17"/>
    <mergeCell ref="B1:H1"/>
    <mergeCell ref="B5:G5"/>
    <mergeCell ref="H5:I5"/>
    <mergeCell ref="H6:I6"/>
    <mergeCell ref="H7:I7"/>
    <mergeCell ref="B9:D9"/>
    <mergeCell ref="E9:H9"/>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5"/>
    <col customWidth="1" min="2" max="4" width="28.5"/>
  </cols>
  <sheetData>
    <row r="1" ht="27.0" customHeight="1">
      <c r="A1" s="4"/>
      <c r="B1" s="3" t="s">
        <v>9</v>
      </c>
    </row>
    <row r="2" ht="27.0" customHeight="1">
      <c r="A2" s="6"/>
      <c r="B2" s="8" t="s">
        <v>14</v>
      </c>
      <c r="C2" s="8" t="s">
        <v>15</v>
      </c>
      <c r="D2" s="8" t="s">
        <v>17</v>
      </c>
    </row>
    <row r="3" ht="27.0" customHeight="1">
      <c r="A3" s="6" t="s">
        <v>19</v>
      </c>
      <c r="B3" s="10" t="s">
        <v>21</v>
      </c>
      <c r="C3" s="10" t="s">
        <v>24</v>
      </c>
      <c r="D3" s="10" t="s">
        <v>27</v>
      </c>
    </row>
    <row r="4" ht="27.0" customHeight="1">
      <c r="A4" s="6" t="s">
        <v>29</v>
      </c>
      <c r="B4" s="10" t="s">
        <v>31</v>
      </c>
      <c r="C4" s="10" t="s">
        <v>33</v>
      </c>
      <c r="D4" s="10" t="s">
        <v>35</v>
      </c>
    </row>
    <row r="5" ht="27.0" customHeight="1">
      <c r="A5" s="6" t="s">
        <v>37</v>
      </c>
      <c r="B5" s="10" t="s">
        <v>38</v>
      </c>
      <c r="C5" s="10" t="s">
        <v>39</v>
      </c>
      <c r="D5" s="10" t="s">
        <v>40</v>
      </c>
    </row>
    <row r="6" ht="27.0" customHeight="1">
      <c r="A6" s="12"/>
      <c r="B6" s="12"/>
      <c r="C6" s="12"/>
      <c r="D6" s="12"/>
    </row>
    <row r="7" ht="27.0" customHeight="1">
      <c r="A7" s="2"/>
      <c r="B7" s="3" t="str">
        <f t="shared" ref="B7:B8" si="1">B2</f>
        <v>Dor e Alívio</v>
      </c>
    </row>
    <row r="8" ht="27.0" customHeight="1">
      <c r="A8" s="6"/>
      <c r="B8" s="8" t="str">
        <f t="shared" si="1"/>
        <v>Problemas Comuns</v>
      </c>
      <c r="C8" s="8" t="str">
        <f>B4</f>
        <v>Impactos na Rotina</v>
      </c>
      <c r="D8" s="8" t="str">
        <f>B5</f>
        <v>Sinais de Troca</v>
      </c>
    </row>
    <row r="9" ht="27.0" customHeight="1">
      <c r="A9" s="6" t="s">
        <v>56</v>
      </c>
      <c r="B9" s="10" t="s">
        <v>57</v>
      </c>
      <c r="C9" s="10" t="s">
        <v>58</v>
      </c>
      <c r="D9" s="10" t="s">
        <v>59</v>
      </c>
    </row>
    <row r="10" ht="27.0" customHeight="1">
      <c r="B10" s="10" t="s">
        <v>60</v>
      </c>
      <c r="C10" s="10" t="s">
        <v>61</v>
      </c>
      <c r="D10" s="10" t="s">
        <v>64</v>
      </c>
    </row>
    <row r="11" ht="27.0" customHeight="1">
      <c r="B11" s="10" t="s">
        <v>67</v>
      </c>
      <c r="C11" s="10" t="s">
        <v>69</v>
      </c>
      <c r="D11" s="10" t="s">
        <v>72</v>
      </c>
    </row>
    <row r="12" ht="27.0" customHeight="1">
      <c r="A12" s="12"/>
      <c r="B12" s="12"/>
      <c r="C12" s="12"/>
      <c r="D12" s="12"/>
    </row>
    <row r="13" ht="27.0" customHeight="1">
      <c r="A13" s="2"/>
      <c r="B13" s="3" t="str">
        <f t="shared" ref="B13:B14" si="2">C2</f>
        <v>Escolha Certa</v>
      </c>
    </row>
    <row r="14" ht="27.0" customHeight="1">
      <c r="A14" s="6"/>
      <c r="B14" s="8" t="str">
        <f t="shared" si="2"/>
        <v>Tipos de Colchões</v>
      </c>
      <c r="C14" s="8" t="str">
        <f>C4</f>
        <v>Guia de Compra</v>
      </c>
      <c r="D14" s="8" t="str">
        <f>C5</f>
        <v>Prova Social</v>
      </c>
    </row>
    <row r="15" ht="27.0" customHeight="1">
      <c r="A15" s="6" t="s">
        <v>56</v>
      </c>
      <c r="B15" s="10" t="s">
        <v>90</v>
      </c>
      <c r="C15" s="10" t="s">
        <v>92</v>
      </c>
      <c r="D15" s="10" t="s">
        <v>94</v>
      </c>
    </row>
    <row r="16" ht="27.0" customHeight="1">
      <c r="B16" s="10" t="s">
        <v>97</v>
      </c>
      <c r="C16" s="10" t="s">
        <v>100</v>
      </c>
      <c r="D16" s="10" t="s">
        <v>101</v>
      </c>
    </row>
    <row r="17" ht="27.0" customHeight="1">
      <c r="B17" s="10" t="s">
        <v>102</v>
      </c>
      <c r="C17" s="10" t="s">
        <v>103</v>
      </c>
      <c r="D17" s="10" t="s">
        <v>104</v>
      </c>
    </row>
    <row r="18" ht="27.0" customHeight="1">
      <c r="A18" s="12"/>
      <c r="B18" s="12"/>
      <c r="C18" s="12"/>
      <c r="D18" s="12"/>
    </row>
    <row r="19" ht="27.0" customHeight="1">
      <c r="A19" s="2"/>
      <c r="B19" s="3" t="str">
        <f t="shared" ref="B19:B20" si="3">D2</f>
        <v>Vida Nova</v>
      </c>
    </row>
    <row r="20" ht="27.0" customHeight="1">
      <c r="A20" s="6"/>
      <c r="B20" s="8" t="str">
        <f t="shared" si="3"/>
        <v>Benefícios Imediatos</v>
      </c>
      <c r="C20" s="8" t="str">
        <f>D4</f>
        <v>Estilo de Vida</v>
      </c>
      <c r="D20" s="8" t="str">
        <f>D5</f>
        <v>Qualidade de Vida</v>
      </c>
    </row>
    <row r="21" ht="27.0" customHeight="1">
      <c r="A21" s="6" t="s">
        <v>56</v>
      </c>
      <c r="B21" s="10" t="s">
        <v>119</v>
      </c>
      <c r="C21" s="10" t="s">
        <v>121</v>
      </c>
      <c r="D21" s="10" t="s">
        <v>124</v>
      </c>
    </row>
    <row r="22" ht="27.0" customHeight="1">
      <c r="B22" s="10" t="s">
        <v>126</v>
      </c>
      <c r="C22" s="10" t="s">
        <v>127</v>
      </c>
      <c r="D22" s="10" t="s">
        <v>128</v>
      </c>
    </row>
    <row r="23" ht="27.0" customHeight="1">
      <c r="B23" s="10" t="s">
        <v>129</v>
      </c>
      <c r="C23" s="10" t="s">
        <v>131</v>
      </c>
      <c r="D23" s="10" t="s">
        <v>132</v>
      </c>
    </row>
    <row r="24" ht="27.0" customHeight="1">
      <c r="A24" s="12"/>
      <c r="B24" s="12"/>
      <c r="C24" s="12"/>
      <c r="D24" s="12"/>
    </row>
  </sheetData>
  <mergeCells count="7">
    <mergeCell ref="B1:D1"/>
    <mergeCell ref="B7:D7"/>
    <mergeCell ref="A9:A11"/>
    <mergeCell ref="B13:D13"/>
    <mergeCell ref="A15:A17"/>
    <mergeCell ref="B19:D19"/>
    <mergeCell ref="A21:A23"/>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5"/>
    <col customWidth="1" min="2" max="8" width="29.63"/>
  </cols>
  <sheetData>
    <row r="1" ht="25.5" customHeight="1">
      <c r="A1" s="2"/>
      <c r="B1" s="3" t="s">
        <v>141</v>
      </c>
    </row>
    <row r="2" ht="21.0" customHeight="1">
      <c r="A2" s="6" t="s">
        <v>7</v>
      </c>
      <c r="B2" s="8" t="s">
        <v>142</v>
      </c>
      <c r="C2" s="8" t="s">
        <v>145</v>
      </c>
      <c r="D2" s="8" t="s">
        <v>147</v>
      </c>
      <c r="E2" s="8" t="s">
        <v>149</v>
      </c>
      <c r="F2" s="8" t="s">
        <v>152</v>
      </c>
      <c r="G2" s="8" t="s">
        <v>154</v>
      </c>
      <c r="H2" s="8" t="s">
        <v>155</v>
      </c>
    </row>
    <row r="3">
      <c r="A3" s="6" t="s">
        <v>41</v>
      </c>
      <c r="B3" s="13" t="s">
        <v>156</v>
      </c>
      <c r="C3" s="13" t="s">
        <v>158</v>
      </c>
      <c r="D3" s="13" t="s">
        <v>159</v>
      </c>
      <c r="E3" s="13" t="s">
        <v>161</v>
      </c>
      <c r="F3" s="13" t="s">
        <v>163</v>
      </c>
      <c r="G3" s="13" t="s">
        <v>164</v>
      </c>
      <c r="H3" s="13" t="s">
        <v>165</v>
      </c>
    </row>
    <row r="4">
      <c r="A4" s="12"/>
      <c r="B4" s="12"/>
      <c r="C4" s="12"/>
      <c r="D4" s="12"/>
      <c r="E4" s="12"/>
      <c r="F4" s="12"/>
      <c r="G4" s="12"/>
      <c r="H4" s="12"/>
    </row>
    <row r="5" ht="25.5" customHeight="1">
      <c r="A5" s="2"/>
      <c r="B5" s="3" t="s">
        <v>170</v>
      </c>
    </row>
    <row r="6" ht="21.0" customHeight="1">
      <c r="A6" s="6" t="s">
        <v>7</v>
      </c>
      <c r="B6" s="8" t="s">
        <v>142</v>
      </c>
      <c r="C6" s="8" t="s">
        <v>145</v>
      </c>
      <c r="D6" s="8" t="s">
        <v>147</v>
      </c>
      <c r="E6" s="8" t="s">
        <v>149</v>
      </c>
      <c r="F6" s="8" t="s">
        <v>152</v>
      </c>
      <c r="G6" s="8" t="s">
        <v>154</v>
      </c>
      <c r="H6" s="8" t="s">
        <v>155</v>
      </c>
    </row>
    <row r="7">
      <c r="A7" s="6" t="s">
        <v>41</v>
      </c>
      <c r="B7" s="13" t="s">
        <v>175</v>
      </c>
      <c r="C7" s="13" t="s">
        <v>177</v>
      </c>
      <c r="D7" s="13" t="s">
        <v>178</v>
      </c>
      <c r="E7" s="13" t="s">
        <v>179</v>
      </c>
      <c r="F7" s="13" t="s">
        <v>180</v>
      </c>
      <c r="G7" s="13" t="s">
        <v>183</v>
      </c>
      <c r="H7" s="13" t="s">
        <v>184</v>
      </c>
    </row>
    <row r="8">
      <c r="A8" s="12"/>
      <c r="B8" s="12"/>
      <c r="C8" s="12"/>
      <c r="D8" s="12"/>
      <c r="E8" s="12"/>
      <c r="F8" s="12"/>
      <c r="G8" s="12"/>
      <c r="H8" s="12"/>
    </row>
    <row r="9" ht="25.5" customHeight="1">
      <c r="A9" s="2"/>
      <c r="B9" s="3" t="s">
        <v>190</v>
      </c>
    </row>
    <row r="10" ht="21.0" customHeight="1">
      <c r="A10" s="6" t="s">
        <v>7</v>
      </c>
      <c r="B10" s="8" t="s">
        <v>142</v>
      </c>
      <c r="C10" s="8" t="s">
        <v>145</v>
      </c>
      <c r="D10" s="8" t="s">
        <v>147</v>
      </c>
      <c r="E10" s="8" t="s">
        <v>149</v>
      </c>
      <c r="F10" s="8" t="s">
        <v>152</v>
      </c>
      <c r="G10" s="8" t="s">
        <v>154</v>
      </c>
      <c r="H10" s="8" t="s">
        <v>155</v>
      </c>
    </row>
    <row r="11">
      <c r="A11" s="6" t="s">
        <v>41</v>
      </c>
      <c r="B11" s="13" t="s">
        <v>196</v>
      </c>
      <c r="C11" s="13" t="s">
        <v>198</v>
      </c>
      <c r="D11" s="13" t="s">
        <v>200</v>
      </c>
      <c r="E11" s="13" t="s">
        <v>201</v>
      </c>
      <c r="F11" s="13" t="s">
        <v>202</v>
      </c>
      <c r="G11" s="13" t="s">
        <v>204</v>
      </c>
      <c r="H11" s="13" t="s">
        <v>206</v>
      </c>
    </row>
    <row r="12">
      <c r="A12" s="12"/>
      <c r="B12" s="12"/>
      <c r="C12" s="12"/>
      <c r="D12" s="12"/>
      <c r="E12" s="12"/>
      <c r="F12" s="12"/>
      <c r="G12" s="12"/>
      <c r="H12" s="12"/>
    </row>
    <row r="13" ht="25.5" customHeight="1">
      <c r="A13" s="2"/>
      <c r="B13" s="3" t="s">
        <v>212</v>
      </c>
    </row>
    <row r="14" ht="21.0" customHeight="1">
      <c r="A14" s="6" t="s">
        <v>7</v>
      </c>
      <c r="B14" s="8" t="s">
        <v>142</v>
      </c>
      <c r="C14" s="8" t="s">
        <v>145</v>
      </c>
      <c r="D14" s="8" t="s">
        <v>147</v>
      </c>
      <c r="E14" s="8" t="s">
        <v>149</v>
      </c>
      <c r="F14" s="8" t="s">
        <v>152</v>
      </c>
      <c r="G14" s="8" t="s">
        <v>154</v>
      </c>
      <c r="H14" s="8" t="s">
        <v>155</v>
      </c>
    </row>
    <row r="15">
      <c r="A15" s="6" t="s">
        <v>41</v>
      </c>
      <c r="B15" s="13" t="s">
        <v>215</v>
      </c>
      <c r="C15" s="13" t="s">
        <v>216</v>
      </c>
      <c r="D15" s="13" t="s">
        <v>218</v>
      </c>
      <c r="E15" s="13" t="s">
        <v>219</v>
      </c>
      <c r="F15" s="13" t="s">
        <v>220</v>
      </c>
      <c r="G15" s="13" t="s">
        <v>221</v>
      </c>
      <c r="H15" s="13" t="s">
        <v>223</v>
      </c>
    </row>
    <row r="16">
      <c r="A16" s="12"/>
      <c r="B16" s="12"/>
      <c r="C16" s="12"/>
      <c r="D16" s="12"/>
      <c r="E16" s="12"/>
      <c r="F16" s="12"/>
      <c r="G16" s="12"/>
      <c r="H16" s="12"/>
    </row>
    <row r="17" ht="25.5" customHeight="1">
      <c r="A17" s="2"/>
      <c r="B17" s="3" t="s">
        <v>231</v>
      </c>
    </row>
    <row r="18" ht="21.0" customHeight="1">
      <c r="A18" s="6" t="s">
        <v>7</v>
      </c>
      <c r="B18" s="8" t="s">
        <v>142</v>
      </c>
      <c r="C18" s="8" t="s">
        <v>145</v>
      </c>
      <c r="D18" s="8" t="s">
        <v>147</v>
      </c>
      <c r="E18" s="8" t="s">
        <v>149</v>
      </c>
      <c r="F18" s="8" t="s">
        <v>152</v>
      </c>
      <c r="G18" s="8" t="s">
        <v>154</v>
      </c>
      <c r="H18" s="8" t="s">
        <v>155</v>
      </c>
    </row>
    <row r="19">
      <c r="A19" s="6" t="s">
        <v>41</v>
      </c>
      <c r="B19" s="13" t="s">
        <v>244</v>
      </c>
      <c r="C19" s="13" t="s">
        <v>246</v>
      </c>
      <c r="D19" s="13" t="s">
        <v>249</v>
      </c>
      <c r="E19" s="13" t="s">
        <v>252</v>
      </c>
      <c r="F19" s="13" t="s">
        <v>255</v>
      </c>
      <c r="G19" s="13" t="s">
        <v>258</v>
      </c>
      <c r="H19" s="13" t="s">
        <v>261</v>
      </c>
    </row>
    <row r="20">
      <c r="A20" s="12"/>
      <c r="B20" s="12"/>
      <c r="C20" s="12"/>
      <c r="D20" s="12"/>
      <c r="E20" s="12"/>
      <c r="F20" s="12"/>
      <c r="G20" s="12"/>
      <c r="H20" s="12"/>
    </row>
  </sheetData>
  <mergeCells count="5">
    <mergeCell ref="B1:H1"/>
    <mergeCell ref="B5:H5"/>
    <mergeCell ref="B9:H9"/>
    <mergeCell ref="B13:H13"/>
    <mergeCell ref="B17:H17"/>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0"/>
    <col customWidth="1" min="2" max="8" width="29.5"/>
  </cols>
  <sheetData>
    <row r="1" ht="25.5" customHeight="1">
      <c r="A1" s="4" t="s">
        <v>172</v>
      </c>
      <c r="B1" s="3" t="s">
        <v>173</v>
      </c>
    </row>
    <row r="2" ht="21.0" hidden="1" customHeight="1">
      <c r="A2" s="6"/>
      <c r="B2" s="8" t="str">
        <f> $A$1 &amp; "1"</f>
        <v>INSTAGRAM1</v>
      </c>
      <c r="C2" s="8" t="str">
        <f> $A$1 &amp; "2"</f>
        <v>INSTAGRAM2</v>
      </c>
      <c r="D2" s="8" t="str">
        <f> $A$1 &amp; "3"</f>
        <v>INSTAGRAM3</v>
      </c>
      <c r="E2" s="8" t="str">
        <f> $A$1 &amp; "4"</f>
        <v>INSTAGRAM4</v>
      </c>
      <c r="F2" s="8" t="str">
        <f> $A$1 &amp; "5"</f>
        <v>INSTAGRAM5</v>
      </c>
      <c r="G2" s="8" t="str">
        <f> $A$1 &amp; "6"</f>
        <v>INSTAGRAM6</v>
      </c>
      <c r="H2" s="8" t="str">
        <f> $A$1 &amp; "7"</f>
        <v>INSTAGRAM7</v>
      </c>
    </row>
    <row r="3" ht="30.75" customHeight="1">
      <c r="A3" s="6" t="s">
        <v>208</v>
      </c>
      <c r="B3" s="8" t="str">
        <f t="array" ref="B3">IFERROR(INDEX('INDICE DE CANAIS'!B:B, MATCH(B2, 'INDICE DE CANAIS'!A:A, 0)), "—")</f>
        <v>Apressados e Visuais (16–40)</v>
      </c>
      <c r="C3" s="8" t="str">
        <f t="array" ref="C3">IFERROR(INDEX('INDICE DE CANAIS'!B:B, MATCH(C2, 'INDICE DE CANAIS'!A:A, 0)), "—")</f>
        <v>Analíticos e Silenciosos (25–55)</v>
      </c>
      <c r="D3" s="8" t="str">
        <f t="array" ref="D3">IFERROR(INDEX('INDICE DE CANAIS'!B:B, MATCH(D2, 'INDICE DE CANAIS'!A:A, 0)), "—")</f>
        <v>Em busca de pertencimento (18–35)</v>
      </c>
      <c r="E3" s="8" t="str">
        <f t="array" ref="E3">IFERROR(INDEX('INDICE DE CANAIS'!B:B, MATCH(E2, 'INDICE DE CANAIS'!A:A, 0)), "—")</f>
        <v>Práticos do Dia a Dia (20–60)</v>
      </c>
      <c r="F3" s="8" t="str">
        <f t="array" ref="F3">IFERROR(INDEX('INDICE DE CANAIS'!B:B, MATCH(F2, 'INDICE DE CANAIS'!A:A, 0)), "—")</f>
        <v>Família e Rotina (25–55)</v>
      </c>
      <c r="G3" s="8" t="str">
        <f t="array" ref="G3">IFERROR(INDEX('INDICE DE CANAIS'!B:B, MATCH(G2, 'INDICE DE CANAIS'!A:A, 0)), "—")</f>
        <v>Curiosos e Entusiastas (16–50)</v>
      </c>
      <c r="H3" s="8" t="str">
        <f t="array" ref="H3">IFERROR(INDEX('INDICE DE CANAIS'!B:B, MATCH(H2, 'INDICE DE CANAIS'!A:A, 0)), "—")</f>
        <v>Caçadores de Oportunidades (18–60)</v>
      </c>
    </row>
    <row r="4" ht="30.75" customHeight="1">
      <c r="A4" s="6" t="s">
        <v>309</v>
      </c>
      <c r="B4" s="29" t="s">
        <v>314</v>
      </c>
      <c r="C4" s="29" t="s">
        <v>314</v>
      </c>
      <c r="D4" s="29" t="s">
        <v>314</v>
      </c>
      <c r="E4" s="29" t="s">
        <v>314</v>
      </c>
      <c r="F4" s="29" t="s">
        <v>314</v>
      </c>
      <c r="G4" s="29" t="s">
        <v>319</v>
      </c>
      <c r="H4" s="29" t="s">
        <v>314</v>
      </c>
    </row>
    <row r="5">
      <c r="A5" s="6" t="s">
        <v>41</v>
      </c>
      <c r="B5" s="13" t="str">
        <f t="array" ref="B5">IFERROR(INDEX('INDICE DE CANAIS'!C:C, MATCH(B2, 'INDICE DE CANAIS'!A:A, 0)), "—")</f>
        <v>São pessoas que consomem conteúdo em intervalos curtos ao longo do dia, como durante o transporte, pausas no trabalho ou no banheiro. Preferem Reels de até 15 segundos, vídeos com legenda automática e ritmo acelerado. Não têm paciência para conteúdo lento ou complexo. Se algo chamar atenção nos primeiros segundos, elas param. O pensamento dominante é: “me mostra logo o que eu ganho com isso”. Normalmente clicam apenas se o botão ou mensagem for mais chamativo que o próprio conteúdo. Esse público é excelente para produtos de giro rápido, promoções diretas, reviews e humor cotidiano.</v>
      </c>
      <c r="C5" s="13" t="str">
        <f t="array" ref="C5">IFERROR(INDEX('INDICE DE CANAIS'!C:C, MATCH(C2, 'INDICE DE CANAIS'!A:A, 0)), "—")</f>
        <v>Esse grupo é formado por pessoas mais racionais, que observam muito antes de agir. Costumam acessar o Instagram no início da manhã ou no final do dia, e valorizam conteúdos que ensinam algo útil. Carrosséis explicativos, análises, frameworks e bastidores são os formatos que mais atraem. Eles raramente curtem ou comentam, mas salvam e voltam depois. Clicam mais em DMs, botões discretos e CTAs bem posicionados. São ideais para negócios B2B, serviços técnicos, consultorias e produtos de alto valor com foco em argumento lógico.</v>
      </c>
      <c r="D5" s="13" t="str">
        <f t="array" ref="D5">IFERROR(INDEX('INDICE DE CANAIS'!C:C, MATCH(D2, 'INDICE DE CANAIS'!A:A, 0)), "—")</f>
        <v>Esse público é movido por aspiração e identidade. Querem encontrar referências de quem já chegou onde eles querem estar. Consomem frases com fundo preto, rotinas editadas, lifestyle e narrativas de superação. Estão presentes principalmente na madrugada e nas manhãs. Eles pensam: “quero ser alguém, quem já chegou lá?”. Engajam através de marcações, comentários de identificação e salvamentos emocionais. Conectam muito bem com conteúdos que falam sobre propósito, mudança de vida, estética e liberdade. São ótimos para marcas com storytelling forte, produtos aspiracionais e influenciadores.</v>
      </c>
      <c r="E5" s="13" t="str">
        <f t="array" ref="E5">IFERROR(INDEX('INDICE DE CANAIS'!C:C, MATCH(E2, 'INDICE DE CANAIS'!A:A, 0)), "—")</f>
        <v>Formado por pessoas que usam o Instagram como ferramenta de solução, esse público valoriza conteúdos que resolvem problemas reais. Consomem antes e depois, tutoriais curtos, dicas rápidas e explicações simples. Estão ativos ao longo do expediente e aos sábados. Pensam sempre: “isso resolve meu problema agora?”. Costumam clicar em stories com instruções claras, destaques de “como funciona” e enviar direct com dúvidas. São perfeitos para produtos de uso doméstico, alimentação, cuidados pessoais, serviços locais e soluções rápidas — inclusive papel higiênico.</v>
      </c>
      <c r="F5" s="13" t="str">
        <f t="array" ref="F5">IFERROR(INDEX('INDICE DE CANAIS'!C:C, MATCH(F2, 'INDICE DE CANAIS'!A:A, 0)), "—")</f>
        <v>Aqui temos mães, pais e cuidadores que consomem Instagram como extensão da vida familiar. Acessam a plataforma de manhã, antes do caos começar, ou à noite, quando a casa está em silêncio. Preferem conteúdo que ajude na rotina, sem exigir esforço mental. Se conectam com memes sobre filhos, reviews de produtos, dicas financeiras e soluções práticas para o dia a dia. Detestam jargões, enrolação e vídeos confusos. Clicam em stories com explicação leve, CTAs contextuais e depoimentos reais. Perfeitos para nichos de lar, saúde, limpeza, alimentação e bem-estar familiar.</v>
      </c>
      <c r="G5" s="13" t="str">
        <f t="array" ref="G5">IFERROR(INDEX('INDICE DE CANAIS'!C:C, MATCH(G2, 'INDICE DE CANAIS'!A:A, 0)), "—")</f>
        <v>São usuários ativos e inquietos. Vivem zapeando o Instagram em busca de novidade. Gostam de bastidores, “como é feito”, testes de produto e comparativos visuais. Não necessariamente compram de imediato, mas são impactados por conteúdos intrigantes que despertam dúvida. Pensam: “quero saber mais, mesmo que não compre agora”. Engajam por salvamento ou comentário perguntando algo. São ótimos para nichos como tecnologia, cosméticos, alimentos e qualquer conteúdo que permita explorar bastidores ou diferenciais técnicos.</v>
      </c>
      <c r="H5" s="13" t="str">
        <f t="array" ref="H5">IFERROR(INDEX('INDICE DE CANAIS'!C:C, MATCH(H2, 'INDICE DE CANAIS'!A:A, 0)), "—")</f>
        <v>Esse público vive atrás de ofertas, novidades e condições especiais. Estão atentos a cupons, lançamentos e conteúdos com gatilhos de escassez ou urgência. Acessam o Instagram ao longo do dia, com mais força nas quintas e sextas. Pensam: “se eu não aproveitar isso agora, vou me arrepender”. Clicam imediatamente em botões chamativos, muitas vezes sem nem ler a legenda toda. Ideais para ecommerce, campanhas de lançamento, datas sazonais, produtos promocionais e qualquer conteúdo que envolva vantagem imediata.</v>
      </c>
    </row>
    <row r="6">
      <c r="A6" s="12"/>
      <c r="B6" s="12"/>
      <c r="C6" s="12"/>
      <c r="D6" s="12"/>
      <c r="E6" s="12"/>
      <c r="F6" s="12"/>
      <c r="G6" s="12"/>
      <c r="H6" s="12"/>
    </row>
  </sheetData>
  <mergeCells count="1">
    <mergeCell ref="B1:H1"/>
  </mergeCells>
  <dataValidations>
    <dataValidation type="list" allowBlank="1" showErrorMessage="1" sqref="B4:H4">
      <formula1>"SIM,NÃO"</formula1>
    </dataValidation>
    <dataValidation type="list" allowBlank="1" showErrorMessage="1" sqref="A1">
      <formula1>"INSTAGRAM,LINKEDIN,YOUTUBE,TIKTOK,BLOG"</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75"/>
    <col customWidth="1" min="3" max="3" width="97.63"/>
  </cols>
  <sheetData>
    <row r="1">
      <c r="A1" s="26" t="s">
        <v>173</v>
      </c>
      <c r="B1" s="26" t="s">
        <v>224</v>
      </c>
      <c r="C1" s="27" t="s">
        <v>225</v>
      </c>
    </row>
    <row r="2">
      <c r="A2" s="26" t="s">
        <v>227</v>
      </c>
      <c r="B2" s="26" t="s">
        <v>228</v>
      </c>
      <c r="C2" s="28" t="s">
        <v>229</v>
      </c>
    </row>
    <row r="3">
      <c r="A3" s="26" t="s">
        <v>230</v>
      </c>
      <c r="B3" s="26" t="s">
        <v>232</v>
      </c>
      <c r="C3" s="28" t="s">
        <v>233</v>
      </c>
    </row>
    <row r="4">
      <c r="A4" s="26" t="s">
        <v>235</v>
      </c>
      <c r="B4" s="26" t="s">
        <v>236</v>
      </c>
      <c r="C4" s="28" t="s">
        <v>237</v>
      </c>
    </row>
    <row r="5">
      <c r="A5" s="26" t="s">
        <v>238</v>
      </c>
      <c r="B5" s="26" t="s">
        <v>239</v>
      </c>
      <c r="C5" s="28" t="s">
        <v>241</v>
      </c>
    </row>
    <row r="6">
      <c r="A6" s="26" t="s">
        <v>242</v>
      </c>
      <c r="B6" s="26" t="s">
        <v>243</v>
      </c>
      <c r="C6" s="28" t="s">
        <v>245</v>
      </c>
    </row>
    <row r="7">
      <c r="A7" s="26" t="s">
        <v>247</v>
      </c>
      <c r="B7" s="26" t="s">
        <v>248</v>
      </c>
      <c r="C7" s="28" t="s">
        <v>251</v>
      </c>
    </row>
    <row r="8">
      <c r="A8" s="26" t="s">
        <v>253</v>
      </c>
      <c r="B8" s="26" t="s">
        <v>254</v>
      </c>
      <c r="C8" s="28" t="s">
        <v>256</v>
      </c>
    </row>
    <row r="9">
      <c r="A9" s="26" t="s">
        <v>257</v>
      </c>
      <c r="B9" s="26" t="s">
        <v>259</v>
      </c>
      <c r="C9" s="28" t="s">
        <v>262</v>
      </c>
    </row>
    <row r="10">
      <c r="A10" s="26" t="s">
        <v>263</v>
      </c>
      <c r="B10" s="26" t="s">
        <v>264</v>
      </c>
      <c r="C10" s="28" t="s">
        <v>265</v>
      </c>
    </row>
    <row r="11">
      <c r="A11" s="26" t="s">
        <v>266</v>
      </c>
      <c r="B11" s="26" t="s">
        <v>268</v>
      </c>
      <c r="C11" s="28" t="s">
        <v>269</v>
      </c>
    </row>
    <row r="12">
      <c r="A12" s="26" t="s">
        <v>270</v>
      </c>
      <c r="B12" s="26" t="s">
        <v>271</v>
      </c>
      <c r="C12" s="28" t="s">
        <v>272</v>
      </c>
    </row>
    <row r="13">
      <c r="A13" s="26" t="s">
        <v>274</v>
      </c>
      <c r="B13" s="26" t="s">
        <v>275</v>
      </c>
      <c r="C13" s="28" t="s">
        <v>276</v>
      </c>
    </row>
    <row r="14">
      <c r="A14" s="26" t="s">
        <v>277</v>
      </c>
      <c r="B14" s="26" t="s">
        <v>278</v>
      </c>
      <c r="C14" s="28" t="s">
        <v>280</v>
      </c>
    </row>
    <row r="15">
      <c r="A15" s="26" t="s">
        <v>281</v>
      </c>
      <c r="B15" s="26" t="s">
        <v>282</v>
      </c>
      <c r="C15" s="28" t="s">
        <v>283</v>
      </c>
    </row>
    <row r="16">
      <c r="A16" s="26" t="s">
        <v>284</v>
      </c>
      <c r="B16" s="26" t="s">
        <v>285</v>
      </c>
      <c r="C16" s="28" t="s">
        <v>286</v>
      </c>
    </row>
    <row r="17">
      <c r="A17" s="26" t="s">
        <v>287</v>
      </c>
      <c r="B17" s="26" t="s">
        <v>288</v>
      </c>
      <c r="C17" s="28" t="s">
        <v>290</v>
      </c>
    </row>
    <row r="18">
      <c r="A18" s="26" t="s">
        <v>291</v>
      </c>
      <c r="B18" s="26" t="s">
        <v>292</v>
      </c>
      <c r="C18" s="28" t="s">
        <v>294</v>
      </c>
    </row>
    <row r="19">
      <c r="A19" s="26" t="s">
        <v>295</v>
      </c>
      <c r="B19" s="26" t="s">
        <v>296</v>
      </c>
      <c r="C19" s="28" t="s">
        <v>297</v>
      </c>
    </row>
    <row r="20">
      <c r="A20" s="26" t="s">
        <v>298</v>
      </c>
      <c r="B20" s="26" t="s">
        <v>300</v>
      </c>
      <c r="C20" s="28" t="s">
        <v>301</v>
      </c>
    </row>
    <row r="21">
      <c r="A21" s="26" t="s">
        <v>302</v>
      </c>
      <c r="B21" s="26" t="s">
        <v>303</v>
      </c>
      <c r="C21" s="28" t="s">
        <v>305</v>
      </c>
    </row>
    <row r="22">
      <c r="A22" s="26" t="s">
        <v>306</v>
      </c>
      <c r="B22" s="26" t="s">
        <v>307</v>
      </c>
      <c r="C22" s="28" t="s">
        <v>308</v>
      </c>
    </row>
    <row r="23">
      <c r="A23" s="26" t="s">
        <v>311</v>
      </c>
      <c r="B23" s="26" t="s">
        <v>312</v>
      </c>
      <c r="C23" s="28" t="s">
        <v>313</v>
      </c>
    </row>
    <row r="24">
      <c r="A24" s="26" t="s">
        <v>315</v>
      </c>
      <c r="B24" s="26" t="s">
        <v>316</v>
      </c>
      <c r="C24" s="28" t="s">
        <v>318</v>
      </c>
    </row>
    <row r="25">
      <c r="A25" s="26" t="s">
        <v>320</v>
      </c>
      <c r="B25" s="26" t="s">
        <v>322</v>
      </c>
      <c r="C25" s="28" t="s">
        <v>323</v>
      </c>
    </row>
    <row r="26">
      <c r="A26" s="26" t="s">
        <v>324</v>
      </c>
      <c r="B26" s="26" t="s">
        <v>325</v>
      </c>
      <c r="C26" s="28" t="s">
        <v>327</v>
      </c>
    </row>
    <row r="27">
      <c r="A27" s="26" t="s">
        <v>328</v>
      </c>
      <c r="B27" s="26" t="s">
        <v>329</v>
      </c>
      <c r="C27" s="28" t="s">
        <v>331</v>
      </c>
    </row>
    <row r="28">
      <c r="A28" s="26" t="s">
        <v>332</v>
      </c>
      <c r="B28" s="26" t="s">
        <v>333</v>
      </c>
      <c r="C28" s="28" t="s">
        <v>334</v>
      </c>
    </row>
    <row r="29">
      <c r="A29" s="26" t="s">
        <v>335</v>
      </c>
      <c r="B29" s="26" t="s">
        <v>336</v>
      </c>
      <c r="C29" s="28" t="s">
        <v>338</v>
      </c>
    </row>
    <row r="30">
      <c r="A30" s="26" t="s">
        <v>339</v>
      </c>
      <c r="B30" s="26" t="s">
        <v>340</v>
      </c>
      <c r="C30" s="28" t="s">
        <v>341</v>
      </c>
    </row>
    <row r="31">
      <c r="A31" s="26" t="s">
        <v>343</v>
      </c>
      <c r="B31" s="26" t="s">
        <v>344</v>
      </c>
      <c r="C31" s="28" t="s">
        <v>345</v>
      </c>
    </row>
    <row r="32">
      <c r="A32" s="26" t="s">
        <v>346</v>
      </c>
      <c r="B32" s="26" t="s">
        <v>347</v>
      </c>
      <c r="C32" s="28" t="s">
        <v>349</v>
      </c>
    </row>
    <row r="33">
      <c r="A33" s="26" t="s">
        <v>350</v>
      </c>
      <c r="B33" s="26" t="s">
        <v>351</v>
      </c>
      <c r="C33" s="28" t="s">
        <v>352</v>
      </c>
    </row>
    <row r="34">
      <c r="A34" s="26" t="s">
        <v>354</v>
      </c>
      <c r="B34" s="26" t="s">
        <v>355</v>
      </c>
      <c r="C34" s="28" t="s">
        <v>356</v>
      </c>
    </row>
    <row r="35">
      <c r="A35" s="26" t="s">
        <v>357</v>
      </c>
      <c r="B35" s="26" t="s">
        <v>359</v>
      </c>
      <c r="C35" s="28" t="s">
        <v>360</v>
      </c>
    </row>
    <row r="36">
      <c r="A36" s="26" t="s">
        <v>361</v>
      </c>
      <c r="B36" s="26" t="s">
        <v>362</v>
      </c>
      <c r="C36" s="28" t="s">
        <v>364</v>
      </c>
    </row>
    <row r="37">
      <c r="A37" s="26" t="s">
        <v>365</v>
      </c>
      <c r="B37" s="26"/>
      <c r="C37" s="28"/>
    </row>
    <row r="38">
      <c r="A38" s="26" t="s">
        <v>366</v>
      </c>
      <c r="B38" s="26"/>
      <c r="C38" s="28"/>
    </row>
    <row r="39">
      <c r="A39" s="26" t="s">
        <v>367</v>
      </c>
      <c r="B39" s="26"/>
      <c r="C39" s="28"/>
    </row>
    <row r="40">
      <c r="A40" s="26" t="s">
        <v>369</v>
      </c>
      <c r="B40" s="26"/>
      <c r="C40" s="28"/>
    </row>
    <row r="41">
      <c r="A41" s="26" t="s">
        <v>370</v>
      </c>
      <c r="B41" s="26"/>
      <c r="C41" s="28"/>
    </row>
    <row r="42">
      <c r="A42" s="26" t="s">
        <v>371</v>
      </c>
      <c r="B42" s="26"/>
      <c r="C42" s="28"/>
    </row>
    <row r="43">
      <c r="A43" s="26" t="s">
        <v>373</v>
      </c>
      <c r="B43" s="26"/>
      <c r="C43" s="2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25"/>
    <col customWidth="1" min="2" max="8" width="37.63"/>
  </cols>
  <sheetData>
    <row r="1" ht="25.5" customHeight="1">
      <c r="A1" s="4" t="s">
        <v>289</v>
      </c>
      <c r="B1" s="3" t="s">
        <v>293</v>
      </c>
    </row>
    <row r="2" ht="21.0" hidden="1" customHeight="1">
      <c r="A2" s="6"/>
      <c r="B2" s="8" t="str">
        <f> $A$1 &amp; "1"</f>
        <v>TEXTO CURTO1</v>
      </c>
      <c r="C2" s="8" t="str">
        <f> $A$1 &amp; "2"</f>
        <v>TEXTO CURTO2</v>
      </c>
      <c r="D2" s="8" t="str">
        <f> $A$1 &amp; "3"</f>
        <v>TEXTO CURTO3</v>
      </c>
      <c r="E2" s="8" t="str">
        <f> $A$1 &amp; "4"</f>
        <v>TEXTO CURTO4</v>
      </c>
      <c r="F2" s="8" t="str">
        <f> $A$1 &amp; "5"</f>
        <v>TEXTO CURTO5</v>
      </c>
      <c r="G2" s="8" t="str">
        <f> $A$1 &amp; "6"</f>
        <v>TEXTO CURTO6</v>
      </c>
      <c r="H2" s="8" t="str">
        <f> $A$1 &amp; "7"</f>
        <v>TEXTO CURTO7</v>
      </c>
    </row>
    <row r="3" ht="30.75" customHeight="1">
      <c r="A3" s="6" t="s">
        <v>208</v>
      </c>
      <c r="B3" s="8" t="str">
        <f t="array" ref="B3">IFERROR(INDEX('INDICE DE FORMATOS'!B:B, MATCH(B2, 'INDICE DE FORMATOS'!A:A, 0)), "—")</f>
        <v>Insight</v>
      </c>
      <c r="C3" s="8" t="str">
        <f t="array" ref="C3">IFERROR(INDEX('INDICE DE FORMATOS'!B:B, MATCH(C2, 'INDICE DE FORMATOS'!A:A, 0)), "—")</f>
        <v>Diário</v>
      </c>
      <c r="D3" s="8" t="str">
        <f t="array" ref="D3">IFERROR(INDEX('INDICE DE FORMATOS'!B:B, MATCH(D2, 'INDICE DE FORMATOS'!A:A, 0)), "—")</f>
        <v>Pergunta</v>
      </c>
      <c r="E3" s="8" t="str">
        <f t="array" ref="E3">IFERROR(INDEX('INDICE DE FORMATOS'!B:B, MATCH(E2, 'INDICE DE FORMATOS'!A:A, 0)), "—")</f>
        <v>1 Coisa</v>
      </c>
      <c r="F3" s="8" t="str">
        <f t="array" ref="F3">IFERROR(INDEX('INDICE DE FORMATOS'!B:B, MATCH(F2, 'INDICE DE FORMATOS'!A:A, 0)), "—")</f>
        <v>Texto Manifesto</v>
      </c>
      <c r="G3" s="8" t="str">
        <f t="array" ref="G3">IFERROR(INDEX('INDICE DE FORMATOS'!B:B, MATCH(G2, 'INDICE DE FORMATOS'!A:A, 0)), "—")</f>
        <v>Micro Case</v>
      </c>
      <c r="H3" s="8" t="str">
        <f t="array" ref="H3">IFERROR(INDEX('INDICE DE FORMATOS'!B:B, MATCH(H2, 'INDICE DE FORMATOS'!A:A, 0)), "—")</f>
        <v>Storytelling com Conteúdo</v>
      </c>
    </row>
    <row r="4" ht="30.75" customHeight="1">
      <c r="A4" s="6" t="s">
        <v>309</v>
      </c>
      <c r="B4" s="29" t="s">
        <v>314</v>
      </c>
      <c r="C4" s="29" t="s">
        <v>314</v>
      </c>
      <c r="D4" s="29" t="s">
        <v>314</v>
      </c>
      <c r="E4" s="29" t="s">
        <v>314</v>
      </c>
      <c r="F4" s="29" t="s">
        <v>314</v>
      </c>
      <c r="G4" s="29" t="s">
        <v>314</v>
      </c>
      <c r="H4" s="29" t="s">
        <v>314</v>
      </c>
    </row>
    <row r="5">
      <c r="A5" s="6" t="s">
        <v>41</v>
      </c>
      <c r="B5" s="13" t="str">
        <f t="array" ref="B5">IFERROR(INDEX('INDICE DE FORMATOS'!C:C, MATCH(B2, 'INDICE DE FORMATOS'!A:A, 0)), "—")</f>
        <v>O que é:
Um pensamento curto que revela uma verdade oculta, incômoda ou ignorada. É aquele tipo de frase que você lê e pensa “é verdade, mas ninguém fala disso assim”. Pode ser sobre comportamento, mercado, mentalidade ou um erro comum.
Por que funciona:
É direto, impactante e fácil de compartilhar. Em poucas palavras, entrega um estalo de consciência que se conecta rápido com a realidade do público. Costuma gerar curtidas por identificação e comentários do tipo “eu precisava ler isso”.
Como fazer:
Use linguagem simples, como se falasse em voz alta.
Escreva como uma conclusão óbvia, mas que a maioria ainda não percebeu.
Evite jargões ou frases genéricas.
Exemplo:
“Você não está sem tempo. Você só não sabe o que fazer com ele.”
Dica estratégica:
Use ideias que surgem em atendimentos, reuniões ou bastidores. São frases que nasceram no off e merecem ir pro feed.</v>
      </c>
      <c r="C5" s="13" t="str">
        <f t="array" ref="C5">IFERROR(INDEX('INDICE DE FORMATOS'!C:C, MATCH(C2, 'INDICE DE FORMATOS'!A:A, 0)), "—")</f>
        <v>O que é:
Um texto em primeira pessoa, com tom emocional e reflexivo, que compartilha um sentimento real vivido por você ou pela marca. Não precisa ser sobre algo grandioso — às vezes, é só um pensamento do dia que carrega peso de verdade.
Por que funciona:
Cria conexão genuína. O público sente que está vendo “por dentro” e se identifica com a vulnerabilidade. Quanto mais sincero, mais potente. Funciona especialmente bem em comunidades e perfis que têm uma voz forte.
Como fazer:
Escreva como se estivesse falando com um amigo.
Traga uma sensação vivida (cansaço, dúvida, euforia, alívio).
Finalize com um insight, uma pergunta ou uma pausa.
Exemplo:
“Hoje eu quase desisti.
Quase larguei tudo.
Mas depois lembrei que estou aqui porque ainda tem gente olhando e pensando: se ele conseguir, eu também consigo.”
Dica estratégica:
Use quando quiser humanizar sua marca, mostrar bastidor emocional ou atrair pessoas que pensam como você.
</v>
      </c>
      <c r="D5" s="13" t="str">
        <f t="array" ref="D5">IFERROR(INDEX('INDICE DE FORMATOS'!C:C, MATCH(D2, 'INDICE DE FORMATOS'!A:A, 0)), "—")</f>
        <v>O que é:
Uma provocação em forma de pergunta. Pode ser profunda, desconfortável ou simplesmente curiosa — desde que faça a pessoa refletir ou querer responder. É uma isca para diálogo com valor.
Por que funciona:
Ativa o engajamento sem parecer forçado. As pessoas gostam de falar sobre si mesmas — e uma boa pergunta entrega essa oportunidade. Além disso, você entende melhor seu público pelas respostas.
Como fazer:
Evite perguntas banais (ex: “Qual seu maior sonho?”)
Prefira perguntas que dividem opiniões, cutucam dilemas ou expõem contradições.
Pode usar contexto pessoal ou profissional.
Exemplo:
“Se você tivesse que recomeçar com zero seguidores, faria tudo igual?”
Dica estratégica:
Salve as melhores respostas dos comentários — elas rendem novos conteúdos.</v>
      </c>
      <c r="E5" s="13" t="str">
        <f t="array" ref="E5">IFERROR(INDEX('INDICE DE FORMATOS'!C:C, MATCH(E2, 'INDICE DE FORMATOS'!A:A, 0)), "—")</f>
        <v>O que é:
Um conselho direto, como se você dissesse apenas uma coisa que a pessoa precisa entender ou aplicar. Pode ser uma regra, uma crença ou um princípio de ação. Entra como se fosse uma “lei do jogo”.
Por que funciona:
É simples, prático e assertivo. Mostra autoridade sem parecer arrogância. Ajuda o público a ter foco e priorizar.
Como fazer:
Use o gatilho da escassez (só UMA coisa).
Seja claro e específico — evite generalizações.
Pode usar a estrutura: “1 coisa que todo [perfil] precisa saber”.
Exemplo:
“1 coisa que todo gestor precisa entender: processo sem cultura é só ilusão.”
Dica estratégica:
Transforme insights de aulas, livros ou falas suas em “leis” — isso gera autoridade.</v>
      </c>
      <c r="F5" s="13" t="str">
        <f t="array" ref="F5">IFERROR(INDEX('INDICE DE FORMATOS'!C:C, MATCH(F2, 'INDICE DE FORMATOS'!A:A, 0)), "—")</f>
        <v>O que é:
Uma mini declaração de crenças. Você usa o texto para mostrar o que acredita, o que não tolera ou o que te move. Não fala de produto — fala de princípios. Serve como bandeira da marca.
Por que funciona:
Conecta por identificação ideológica. Ajuda o público a dizer: “é por isso que eu sigo essa marca”. Funciona como filtro de audiência e âncora de posicionamento.
Como fazer:
Use frases curtas, diretas e com tom de verdade absoluta.
Evite ficar explicando ou justificando.
Comece com uma frase forte e vá escalando.
Exemplo:
“A gente acredita em quem começa pequeno.
A gente rejeita atalho.
A gente valoriza clareza antes de velocidade.
E quem pensa assim, não anda sozinho.”
Dica estratégica:
Reutilize partes desse texto em bio, slogan, assinatura de e-mail ou campanhas.</v>
      </c>
      <c r="G5" s="13" t="str">
        <f t="array" ref="G5">IFERROR(INDEX('INDICE DE FORMATOS'!C:C, MATCH(G2, 'INDICE DE FORMATOS'!A:A, 0)), "—")</f>
        <v>O que é:
Um relato rápido de algo que deu certo. Pode ser seu, de um cliente ou de alguém que você acompanha. O foco está na transformação e no que causou o resultado — mesmo que seja simples.
Por que funciona:
É uma forma de prova social que não depende de grandes prints ou vídeos. É storytelling com valor — e gera crença no seu método ou produto.
Como fazer:
Traga um contexto rápido (quem, o quê, quando).
Mostre o ponto de virada.
Finalize com o insight que gerou esse resultado.
Exemplo:
“Uma cliente nossa tinha medo de aparecer.
Em 2 semanas gravando story todo dia, já dobrou o número de orçamentos.
Às vezes o que falta não é estratégia — é coragem.”
Dica estratégica:
Ideal para quando você quer mostrar impacto mesmo sem grandes números.
</v>
      </c>
      <c r="H5" s="13" t="str">
        <f t="array" ref="H5">IFERROR(INDEX('INDICE DE FORMATOS'!C:C, MATCH(H2, 'INDICE DE FORMATOS'!A:A, 0)), "—")</f>
        <v>O que é:
Um texto que começa contando uma situação real, pessoal ou observada — e termina com uma ideia, lição ou insight prático. É uma história curta com uma virada de valor.
Por que funciona:
Porque gente ama história, mas só para quando tem algo em jogo. Ao misturar um episódio (que gera curiosidade) com um conteúdo útil (que gera valor), você entrega emoção e inteligência num post só. Ideal para fundadores, mentores, criadores, especialistas.
Exemplo 1:
Eu quase não fiz aquele vídeo.
A luz tava ruim, o áudio com eco e eu achei minha cara estranha.
Mas eu postei.
Foi o vídeo que me deu mais clientes até hoje.
Às vezes, o que falta não é qualidade — é coragem.
Como fazer:
Comece com uma cena real ou possível (1º ou 3º pessoa)
Deixe o leitor entender o conflito ou dilema
Traga o desfecho ou aprendizado de forma curta, clara e certeira
Feche com uma frase que valha um print, uma anotação ou um repost
Dica estratégica:
Use memórias curtas, frases que você já disse em atendimentos ou coisas que você notou no mercado. O segredo é transformar momentos em verdades universais.
</v>
      </c>
    </row>
    <row r="6">
      <c r="A6" s="12"/>
      <c r="B6" s="12"/>
      <c r="C6" s="12"/>
      <c r="D6" s="12"/>
      <c r="E6" s="12"/>
      <c r="F6" s="12"/>
      <c r="G6" s="12"/>
      <c r="H6" s="12"/>
    </row>
  </sheetData>
  <mergeCells count="1">
    <mergeCell ref="B1:H1"/>
  </mergeCells>
  <dataValidations>
    <dataValidation type="list" allowBlank="1" showErrorMessage="1" sqref="B4:H4">
      <formula1>"SIM,NÃO"</formula1>
    </dataValidation>
    <dataValidation type="list" allowBlank="1" showErrorMessage="1" sqref="A1">
      <formula1>"VÍDEOS CURTOS,VÍDEOS LONGOS,IMAGEM ÚNICA,CARROSSEL,STORY,TEXTO CURTO,TEXTO LONGO,EMAIL"</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43.75"/>
    <col customWidth="1" min="3" max="3" width="91.5"/>
  </cols>
  <sheetData>
    <row r="1">
      <c r="A1" s="26" t="s">
        <v>381</v>
      </c>
      <c r="B1" s="26" t="s">
        <v>383</v>
      </c>
      <c r="C1" s="27" t="s">
        <v>225</v>
      </c>
    </row>
    <row r="2">
      <c r="A2" s="26" t="s">
        <v>384</v>
      </c>
      <c r="B2" s="26" t="s">
        <v>385</v>
      </c>
      <c r="C2" s="28" t="s">
        <v>387</v>
      </c>
    </row>
    <row r="3">
      <c r="A3" s="26" t="s">
        <v>388</v>
      </c>
      <c r="B3" s="26" t="s">
        <v>390</v>
      </c>
      <c r="C3" s="28" t="s">
        <v>392</v>
      </c>
    </row>
    <row r="4">
      <c r="A4" s="26" t="s">
        <v>393</v>
      </c>
      <c r="B4" s="26" t="s">
        <v>395</v>
      </c>
      <c r="C4" s="28" t="s">
        <v>396</v>
      </c>
    </row>
    <row r="5">
      <c r="A5" s="26" t="s">
        <v>397</v>
      </c>
      <c r="B5" s="26" t="s">
        <v>398</v>
      </c>
      <c r="C5" s="28" t="s">
        <v>400</v>
      </c>
    </row>
    <row r="6">
      <c r="A6" s="26" t="s">
        <v>401</v>
      </c>
      <c r="B6" s="26" t="s">
        <v>402</v>
      </c>
      <c r="C6" s="28" t="s">
        <v>404</v>
      </c>
    </row>
    <row r="7">
      <c r="A7" s="26" t="s">
        <v>405</v>
      </c>
      <c r="B7" s="26" t="s">
        <v>406</v>
      </c>
      <c r="C7" s="28" t="s">
        <v>408</v>
      </c>
    </row>
    <row r="8">
      <c r="A8" s="26" t="s">
        <v>409</v>
      </c>
      <c r="B8" s="26" t="s">
        <v>410</v>
      </c>
      <c r="C8" s="28" t="s">
        <v>412</v>
      </c>
    </row>
    <row r="9">
      <c r="A9" s="26" t="s">
        <v>413</v>
      </c>
      <c r="B9" s="26" t="s">
        <v>414</v>
      </c>
      <c r="C9" s="28" t="s">
        <v>416</v>
      </c>
    </row>
    <row r="10">
      <c r="A10" s="26" t="s">
        <v>417</v>
      </c>
      <c r="B10" s="26" t="s">
        <v>418</v>
      </c>
      <c r="C10" s="28" t="s">
        <v>419</v>
      </c>
    </row>
    <row r="11">
      <c r="A11" s="26" t="s">
        <v>420</v>
      </c>
      <c r="B11" s="26" t="s">
        <v>421</v>
      </c>
      <c r="C11" s="28" t="s">
        <v>424</v>
      </c>
    </row>
    <row r="12">
      <c r="A12" s="26" t="s">
        <v>426</v>
      </c>
      <c r="B12" s="26" t="s">
        <v>427</v>
      </c>
      <c r="C12" s="28" t="s">
        <v>430</v>
      </c>
    </row>
    <row r="13">
      <c r="A13" s="26" t="s">
        <v>431</v>
      </c>
      <c r="B13" s="26" t="s">
        <v>433</v>
      </c>
      <c r="C13" s="28" t="s">
        <v>434</v>
      </c>
    </row>
    <row r="14">
      <c r="A14" s="26" t="s">
        <v>435</v>
      </c>
      <c r="B14" s="26" t="s">
        <v>436</v>
      </c>
      <c r="C14" s="28" t="s">
        <v>438</v>
      </c>
    </row>
    <row r="15">
      <c r="A15" s="26" t="s">
        <v>440</v>
      </c>
      <c r="B15" s="26" t="s">
        <v>441</v>
      </c>
      <c r="C15" s="28" t="s">
        <v>443</v>
      </c>
    </row>
    <row r="16">
      <c r="A16" s="26" t="s">
        <v>444</v>
      </c>
      <c r="B16" s="26" t="s">
        <v>446</v>
      </c>
      <c r="C16" s="28" t="s">
        <v>447</v>
      </c>
    </row>
    <row r="17">
      <c r="A17" s="26" t="s">
        <v>448</v>
      </c>
      <c r="B17" s="26" t="s">
        <v>101</v>
      </c>
      <c r="C17" s="28" t="s">
        <v>450</v>
      </c>
    </row>
    <row r="18">
      <c r="A18" s="26" t="s">
        <v>451</v>
      </c>
      <c r="B18" s="26" t="s">
        <v>453</v>
      </c>
      <c r="C18" s="28" t="s">
        <v>454</v>
      </c>
    </row>
    <row r="19">
      <c r="A19" s="26" t="s">
        <v>455</v>
      </c>
      <c r="B19" s="26" t="s">
        <v>456</v>
      </c>
      <c r="C19" s="28" t="s">
        <v>458</v>
      </c>
    </row>
    <row r="20">
      <c r="A20" s="26" t="s">
        <v>459</v>
      </c>
      <c r="B20" s="26" t="s">
        <v>460</v>
      </c>
      <c r="C20" s="28" t="s">
        <v>462</v>
      </c>
    </row>
    <row r="21">
      <c r="A21" s="26" t="s">
        <v>463</v>
      </c>
      <c r="B21" s="26" t="s">
        <v>465</v>
      </c>
      <c r="C21" s="28" t="s">
        <v>466</v>
      </c>
    </row>
    <row r="22">
      <c r="A22" s="26" t="s">
        <v>467</v>
      </c>
      <c r="B22" s="26" t="s">
        <v>469</v>
      </c>
      <c r="C22" s="28" t="s">
        <v>470</v>
      </c>
    </row>
    <row r="23">
      <c r="A23" s="26" t="s">
        <v>472</v>
      </c>
      <c r="B23" s="26" t="s">
        <v>473</v>
      </c>
      <c r="C23" s="28" t="s">
        <v>474</v>
      </c>
    </row>
    <row r="24">
      <c r="A24" s="26" t="s">
        <v>475</v>
      </c>
      <c r="B24" s="26" t="s">
        <v>476</v>
      </c>
      <c r="C24" s="28" t="s">
        <v>477</v>
      </c>
    </row>
    <row r="25">
      <c r="A25" s="26" t="s">
        <v>479</v>
      </c>
      <c r="B25" s="26" t="s">
        <v>480</v>
      </c>
      <c r="C25" s="28" t="s">
        <v>481</v>
      </c>
    </row>
    <row r="26">
      <c r="A26" s="26" t="s">
        <v>483</v>
      </c>
      <c r="B26" s="26" t="s">
        <v>484</v>
      </c>
      <c r="C26" s="28" t="s">
        <v>486</v>
      </c>
    </row>
    <row r="27">
      <c r="A27" s="26" t="s">
        <v>487</v>
      </c>
      <c r="B27" s="26" t="s">
        <v>488</v>
      </c>
      <c r="C27" s="28" t="s">
        <v>489</v>
      </c>
    </row>
    <row r="28">
      <c r="A28" s="26" t="s">
        <v>491</v>
      </c>
      <c r="B28" s="26" t="s">
        <v>492</v>
      </c>
      <c r="C28" s="28" t="s">
        <v>495</v>
      </c>
    </row>
    <row r="29">
      <c r="A29" s="26" t="s">
        <v>496</v>
      </c>
      <c r="B29" s="26" t="s">
        <v>497</v>
      </c>
      <c r="C29" s="28" t="s">
        <v>498</v>
      </c>
    </row>
    <row r="30">
      <c r="A30" s="26" t="s">
        <v>499</v>
      </c>
      <c r="B30" s="26" t="s">
        <v>500</v>
      </c>
      <c r="C30" s="28" t="s">
        <v>502</v>
      </c>
    </row>
    <row r="31">
      <c r="A31" s="26" t="s">
        <v>503</v>
      </c>
      <c r="B31" s="26" t="s">
        <v>504</v>
      </c>
      <c r="C31" s="28" t="s">
        <v>506</v>
      </c>
    </row>
    <row r="32">
      <c r="A32" s="26" t="s">
        <v>507</v>
      </c>
      <c r="B32" s="26" t="s">
        <v>508</v>
      </c>
      <c r="C32" s="28" t="s">
        <v>510</v>
      </c>
    </row>
    <row r="33">
      <c r="A33" s="26" t="s">
        <v>511</v>
      </c>
      <c r="B33" s="26" t="s">
        <v>512</v>
      </c>
      <c r="C33" s="28" t="s">
        <v>514</v>
      </c>
    </row>
    <row r="34">
      <c r="A34" s="26" t="s">
        <v>515</v>
      </c>
      <c r="B34" s="26" t="s">
        <v>516</v>
      </c>
      <c r="C34" s="28" t="s">
        <v>518</v>
      </c>
    </row>
    <row r="35">
      <c r="A35" s="26" t="s">
        <v>519</v>
      </c>
      <c r="B35" s="26" t="s">
        <v>520</v>
      </c>
      <c r="C35" s="28" t="s">
        <v>522</v>
      </c>
    </row>
    <row r="36">
      <c r="A36" s="26" t="s">
        <v>524</v>
      </c>
      <c r="B36" s="26" t="s">
        <v>525</v>
      </c>
      <c r="C36" s="28" t="s">
        <v>526</v>
      </c>
    </row>
    <row r="37">
      <c r="A37" s="26" t="s">
        <v>527</v>
      </c>
      <c r="B37" s="26" t="s">
        <v>528</v>
      </c>
      <c r="C37" s="28" t="s">
        <v>530</v>
      </c>
    </row>
    <row r="38">
      <c r="A38" s="26" t="s">
        <v>531</v>
      </c>
      <c r="B38" s="26" t="s">
        <v>532</v>
      </c>
      <c r="C38" s="28" t="s">
        <v>534</v>
      </c>
    </row>
    <row r="39">
      <c r="A39" s="26" t="s">
        <v>536</v>
      </c>
      <c r="B39" s="26" t="s">
        <v>537</v>
      </c>
      <c r="C39" s="28" t="s">
        <v>539</v>
      </c>
    </row>
    <row r="40">
      <c r="A40" s="26" t="s">
        <v>540</v>
      </c>
      <c r="B40" s="26" t="s">
        <v>542</v>
      </c>
      <c r="C40" s="28" t="s">
        <v>545</v>
      </c>
    </row>
    <row r="41">
      <c r="A41" s="26" t="s">
        <v>547</v>
      </c>
      <c r="B41" s="26" t="s">
        <v>548</v>
      </c>
      <c r="C41" s="28" t="s">
        <v>552</v>
      </c>
    </row>
    <row r="42">
      <c r="A42" s="26" t="s">
        <v>554</v>
      </c>
      <c r="B42" s="26" t="s">
        <v>556</v>
      </c>
      <c r="C42" s="28" t="s">
        <v>560</v>
      </c>
    </row>
    <row r="43">
      <c r="A43" s="26" t="s">
        <v>562</v>
      </c>
      <c r="B43" s="26" t="s">
        <v>564</v>
      </c>
      <c r="C43" s="28" t="s">
        <v>569</v>
      </c>
    </row>
    <row r="44">
      <c r="A44" s="26" t="s">
        <v>572</v>
      </c>
      <c r="B44" s="26" t="s">
        <v>574</v>
      </c>
      <c r="C44" s="28" t="s">
        <v>576</v>
      </c>
    </row>
    <row r="45">
      <c r="A45" s="26" t="s">
        <v>579</v>
      </c>
      <c r="B45" s="26" t="s">
        <v>580</v>
      </c>
      <c r="C45" s="28" t="s">
        <v>584</v>
      </c>
    </row>
    <row r="46">
      <c r="A46" s="26" t="s">
        <v>586</v>
      </c>
      <c r="B46" s="26" t="s">
        <v>588</v>
      </c>
      <c r="C46" s="28" t="s">
        <v>593</v>
      </c>
    </row>
    <row r="47">
      <c r="A47" s="26" t="s">
        <v>596</v>
      </c>
      <c r="B47" s="26" t="s">
        <v>598</v>
      </c>
      <c r="C47" s="28" t="s">
        <v>601</v>
      </c>
    </row>
    <row r="48">
      <c r="A48" s="26" t="s">
        <v>604</v>
      </c>
      <c r="B48" s="26" t="s">
        <v>606</v>
      </c>
      <c r="C48" s="28" t="s">
        <v>611</v>
      </c>
    </row>
    <row r="49">
      <c r="A49" s="26" t="s">
        <v>613</v>
      </c>
      <c r="B49" s="26" t="s">
        <v>615</v>
      </c>
      <c r="C49" s="28" t="s">
        <v>619</v>
      </c>
    </row>
    <row r="50">
      <c r="A50" s="26" t="s">
        <v>621</v>
      </c>
      <c r="B50" s="26" t="s">
        <v>623</v>
      </c>
      <c r="C50" s="28" t="s">
        <v>627</v>
      </c>
    </row>
    <row r="51">
      <c r="A51" s="26" t="s">
        <v>365</v>
      </c>
      <c r="B51" s="26" t="s">
        <v>629</v>
      </c>
      <c r="C51" s="28"/>
    </row>
    <row r="52">
      <c r="A52" s="26" t="s">
        <v>366</v>
      </c>
      <c r="B52" s="26" t="s">
        <v>633</v>
      </c>
      <c r="C52" s="28"/>
    </row>
    <row r="53">
      <c r="A53" s="26" t="s">
        <v>367</v>
      </c>
      <c r="B53" s="26" t="s">
        <v>636</v>
      </c>
      <c r="C53" s="28"/>
    </row>
    <row r="54">
      <c r="A54" s="26" t="s">
        <v>369</v>
      </c>
      <c r="B54" s="26" t="s">
        <v>640</v>
      </c>
      <c r="C54" s="28"/>
    </row>
    <row r="55">
      <c r="A55" s="26" t="s">
        <v>370</v>
      </c>
      <c r="B55" s="26"/>
      <c r="C55" s="28"/>
    </row>
    <row r="56">
      <c r="A56" s="26" t="s">
        <v>371</v>
      </c>
      <c r="B56" s="26"/>
      <c r="C56" s="28"/>
    </row>
    <row r="57">
      <c r="A57" s="26" t="s">
        <v>373</v>
      </c>
      <c r="B57" s="26"/>
      <c r="C57" s="2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88"/>
    <col customWidth="1" min="2" max="2" width="160.5"/>
  </cols>
  <sheetData>
    <row r="1" ht="21.0" customHeight="1">
      <c r="A1" s="6" t="s">
        <v>422</v>
      </c>
      <c r="B1" s="8" t="s">
        <v>425</v>
      </c>
    </row>
    <row r="2" ht="21.75" customHeight="1">
      <c r="A2" s="8" t="s">
        <v>428</v>
      </c>
      <c r="B2" s="40" t="str">
        <f>IFERROR(__xludf.DUMMYFUNCTION("""Você tem a tarefa de criar uma linha editorial completa de conteúdos de alto impacto.
O cliente é "" &amp; POSICIONAMENTO!B3 &amp; "", que atende na região "" &amp; POSICIONAMENTO!C3 &amp; "" e vende o produto "" &amp; POSICIONAMENTO!F3 &amp; "" e este mês "" &amp; POSICIONAMENTO"&amp;"!G3 &amp; ""
Gostaria de dar um foco especial para "" &amp; 'USE CASE MAP'!C7 &amp; ""
Nossa marca se comunica com os clientes com um tom "" &amp; POSICIONAMENTO!B7 &amp; "", usando uma linguagem "" &amp; POSICIONAMENTO!C7 &amp; "" com o objetivo de deixar o público "" &amp; POSICIONA"&amp;"MENTO!D7 &amp; "".
Precisamos que você entregue uma linha editorial completa para uma semana levando em conta que postamos "" &amp; POSICIONAMENTO!E7 &amp; "".
Nosso público basicamente é "" &amp; 'USE CASE MAP'!B3 &amp; "". Além disso, ele enfrenta desafios como "" &amp; 'USE"&amp;" CASE MAP'!D3 &amp; "" e dores como "" &amp; 'USE CASE MAP'!E3 &amp; "".
Nós mapeamos que a causa por trás dos problemas dele é "" &amp; 'USE CASE MAP'!F7 &amp; "". Mas isso não precisa ser o centro de todos os conteúdos.
Sabemos atualmente que ele pode ter algumas alterna"&amp;"tivas a nossa empresa como, "" &amp; 'USE CASE MAP'!B11 &amp; "", "" &amp; 'USE CASE MAP'!C11 &amp; "" e "" &amp; 'USE CASE MAP'!D11 &amp; "".
Os motivos que fazem ele comprar atualmente seriam "" &amp; 'USE CASE MAP'!E11 &amp; "" e nosso maior diferencial é "" &amp; 'USE CASE MAP'!B15 &amp; "&amp;""".
Além do nosso diferecial, o que nosso cliente espera conseguir é "" &amp; 'USE CASE MAP'!E15 &amp; "" mas também "" &amp; 'USE CASE MAP'!F15 &amp; ""
Queremos produzir conteúdo para a rede "" &amp; CANAIS!A1 &amp; "".
E os públicos que podem acabar recebendo nosso conteúd"&amp;"o por estarmos postando nesta plataforma são: "" &amp; TEXTJOIN("", "", TRUE, FILTER(CANAIS!B5:H5, CANAIS!B4:H4=""SIM"")) &amp; "".
Os principais temas que trabalhamos são: "" &amp; 'LINHA EDITORIAL'!B2 &amp; "", "" &amp; 'LINHA EDITORIAL'!C2 &amp; "", "" &amp; 'LINHA EDITORIAL'!D2"&amp;" &amp; "".
Dentro de "" &amp; 'LINHA EDITORIAL'!B2 &amp; "" nós temos os subtemas  "" &amp; 'LINHA EDITORIAL'!B3 &amp; "",  "" &amp; 'LINHA EDITORIAL'!B4 &amp; "",  "" &amp; 'LINHA EDITORIAL'!B5 &amp; ""
Dentro de "" &amp; 'LINHA EDITORIAL'!C2 &amp; "" nós temos os subtemas  "" &amp; 'LINHA EDITORIAL"&amp;"'!C3 &amp; "",  "" &amp; 'LINHA EDITORIAL'!C4 &amp; "",  "" &amp; 'LINHA EDITORIAL'!C5 &amp; ""
Dentro de "" &amp; 'LINHA EDITORIAL'!D2 &amp; "" nós temos os subtemas  "" &amp; 'LINHA EDITORIAL'!D3 &amp; "",  "" &amp; 'LINHA EDITORIAL'!D4 &amp; "",  "" &amp; 'LINHA EDITORIAL'!D5 &amp; ""
Além disso em ca"&amp;"da subtema temos as linhas de conteúdo
Em "" &amp; 'LINHA EDITORIAL'!B8 &amp; "" temos "" &amp; 'LINHA EDITORIAL'!B9 &amp; "", "" &amp; 'LINHA EDITORIAL'!B10 &amp; "", "" &amp; 'LINHA EDITORIAL'!B11 &amp; ""
Em "" &amp; 'LINHA EDITORIAL'!C8 &amp; "" temos "" &amp; 'LINHA EDITORIAL'!C9 &amp; "", "" &amp; "&amp;"'LINHA EDITORIAL'!C10 &amp; "", "" &amp; 'LINHA EDITORIAL'!C11 &amp; ""
Em "" &amp; 'LINHA EDITORIAL'!D8 &amp; "" temos "" &amp; 'LINHA EDITORIAL'!D9 &amp; "", "" &amp; 'LINHA EDITORIAL'!D10 &amp; "", "" &amp; 'LINHA EDITORIAL'!D11 &amp; ""
Em "" &amp; 'LINHA EDITORIAL'!B14 &amp; "" temos "" &amp; 'LINHA EDI"&amp;"TORIAL'!B15 &amp; "", "" &amp; 'LINHA EDITORIAL'!B16 &amp; "", "" &amp; 'LINHA EDITORIAL'!B17 &amp; ""
Em "" &amp; 'LINHA EDITORIAL'!C14 &amp; "" temos "" &amp; 'LINHA EDITORIAL'!C15 &amp; "", "" &amp; 'LINHA EDITORIAL'!C16 &amp; "", "" &amp; 'LINHA EDITORIAL'!C17 &amp; ""
Em "" &amp; 'LINHA EDITORIAL'!D14 &amp;"&amp;" "" temos "" &amp; 'LINHA EDITORIAL'!D15 &amp; "", "" &amp; 'LINHA EDITORIAL'!D16 &amp; "", "" &amp; 'LINHA EDITORIAL'!D17 &amp; ""
Em "" &amp; 'LINHA EDITORIAL'!B20 &amp; "" temos "" &amp; 'LINHA EDITORIAL'!B21 &amp; "", "" &amp; 'LINHA EDITORIAL'!B22 &amp; "", "" &amp; 'LINHA EDITORIAL'!B23 &amp; ""
Em "" "&amp;"&amp; 'LINHA EDITORIAL'!C20 &amp; "" temos "" &amp; 'LINHA EDITORIAL'!C21 &amp; "", "" &amp; 'LINHA EDITORIAL'!C22 &amp; "", "" &amp; 'LINHA EDITORIAL'!C23 &amp; ""
Em "" &amp; 'LINHA EDITORIAL'!D20 &amp; "" temos "" &amp; 'LINHA EDITORIAL'!D21 &amp; "", "" &amp; 'LINHA EDITORIAL'!D22 &amp; "", "" &amp; 'LINHA ED"&amp;"ITORIAL'!D23 &amp; ""
Utilize então os temas de forma variada, para criar um funil completo de conteúdo.
Crie a linha editorial completa para minha semana.
Cada post precisa ter: 
Tema
Subtema
Ideia para o post
Insight/Conteúdo do post"""),"Você tem a tarefa de criar uma linha editorial completa de conteúdos de alto impacto.
O cliente é MINA PIZZA, que atende na região São Vicente - SP  e vende o produto Pizzas, Marmitas, Pastéis e Refeições Delivery e este mês Não Temos Sazonalidade
Gosta"&amp;"ria de dar um foco especial para Durante muitos anos, a Mina Pizza construiu sua clientela principalmente pela localização, tradição e indicação.
Esse modelo foi suficiente enquanto o comportamento de compra era predominantemente presencial ou telefônico"&amp;". Entretanto, o mercado mudou.
Hoje, antes de escolher um restaurante, o consumidor pesquisa no Google, compara avaliações, consulta fotos, verifica horários, busca facilidade para pedir e espera respostas rápidas pelos canais digitais.
Nas reuniões foi"&amp;" constatado que existiam problemas como localização incorreta no Google, avaliações sem resposta, Instagram desatualizado, inconsistências de identidade da marca e limitações na apresentação do cardápio digital. Esses fatores reduzem a confiança de novos "&amp;"consumidores antes mesmo do primeiro pedido.
Ao mesmo tempo, concorrentes investem continuamente em Google Ads, Meta Ads, presença digital e conteúdos visuais, aumentando sua vantagem competitiva.
Nossa marca se comunica com os clientes com um tom Próxi"&amp;"mo, acolhedor e tradicional, usando uma linguagem Simples e objetiva, com linguagem regional e foco em confiança e tradição com o objetivo de deixar o público Que encontrou um restaurante de confiança, com tradição, atendimento próximo e comida de qualida"&amp;"de para compartilhar com a família sem preocupação..
Precisamos que você entregue uma linha editorial completa para uma semana levando em conta que postamos 3 Conteúdos por Semana.
Nosso público basicamente é O público principal da Mina Pizza não procur"&amp;"a apenas uma pizzaria. Ele procura um estabelecimento que já faz parte da rotina da família e transmite confiança. São moradores de São Vicente e cidades próximas que trabalham durante o dia, possuem pouco tempo para cozinhar e valorizam estabelecimentos "&amp;"tradicionais que entreguem qualidade consistente sem complicação.
Grande parte desse público conheceu a empresa por indicação, pela localização ou por muitos anos de operação. Não é um consumidor que busca tendências gastronômicas ou restaurantes ""insta"&amp;"gramáveis"". Seu comportamento é orientado por previsibilidade: ele prefere comprar onde já sabe que será bem atendido e receberá um produto que conhece.
Além da pizza, existe uma oportunidade importante de expansão por meio das marmitas e refeições do d"&amp;"ia, aproveitando um hábito de consumo recorrente durante a semana, estratégia já identificada nas reuniões de planejamento.. Além disso, ele enfrenta desafios como Embora seja um cliente fiel, sua permanência não é garantida. O aumento das opções de deliv"&amp;"ery e a facilidade de comparação entre restaurantes tornam a experiência de atendimento um fator decisivo.
Nas reuniões foram identificados desafios operacionais que impactam diretamente essa percepção, como dificuldades no atendimento telefônico, demora"&amp;" na resposta, falta de padronização e limitações nos canais digitais.
Outro desafio é que esse público não deseja aprender processos novos para fazer um pedido. Quanto mais simples for a jornada — especialmente via WhatsApp — maior tende a ser a conversã"&amp;"o. Essa necessidade de simplificação também foi destacada durante o diagnóstico. e dores como A principal dor não está relacionada apenas ao produto, mas à experiência completa.
Quando decide pedir comida, o cliente espera rapidez, clareza e cordialidade"&amp;". Qualquer atrito durante esse processo reduz sua confiança na marca.
As reuniões identificaram reclamações recorrentes envolvendo atendimento telefônico ríspido, demora, falta de informações sobre produtos e dificuldades durante o pedido, pontos confirm"&amp;"ados tanto pelas avaliações públicas quanto pelo teste de cliente oculto.
Algumas expressões que representam esse sentimento são:
""Toda vez preciso ligar mais de uma vez.""
""Nunca sei quais pratos têm hoje.""
""Quem atende parece estar com pressa.""
"&amp;"""Achei que a qualidade caiu.""
""Está ficando caro pelo que entrega.""
""Prefiro pedir onde respondem mais rápido."".
Nós mapeamos que a causa por trás dos problemas dele é A causa do problema não está na qualidade da marca ou na ausência de mercado.
E"&amp;"la resulta da combinação de fatores operacionais e digitais que se acumularam ao longo do tempo.
Entre os principais fatores identificados durante a consultoria estão:
baixa maturidade digital;
ausência de rotina para gestão de reputação online;
inconsi"&amp;"stência entre os canais digitais;
atendimento telefônico sem protocolo padronizado;
dependência excessiva do iFood;
adoção tardia de ferramentas como WhatsApp Business;
dificuldade em apresentar corretamente o portfólio de produtos, especialmente marmitas"&amp;".
Em outras palavras, o negócio possui valor percebido pela tradição, mas ainda não transformou esse patrimônio em uma operação preparada para competir no ambiente digital.. Mas isso não precisa ser o centro de todos os conteúdos.
Sabemos atualmente que"&amp;" ele pode ter algumas alternativas a nossa empresa como, As alternativas diretas são empresas que disputam exatamente o mesmo espaço mental do consumidor: quando ele decide pedir uma pizza, uma marmita ou uma refeição pronta na região de São Vicente.
O p"&amp;"rincipal concorrente identificado durante a consultoria foi o Império da Pizza, que possui forte presença no Google, Instagram e iFood, além de operar mais de uma unidade física. Seu diferencial está na consistência da presença digital e na facilidade de "&amp;"ser encontrado quando o consumidor pesquisa por pizzarias na região.
Outro concorrente relevante é o Café com Pizza, que apresenta alto volume de avaliações e boa exposição no iFood. Apesar de possuir um posicionamento mais genérico, sua presença constan"&amp;"te nas plataformas digitais faz com que participe diretamente da decisão de compra do consumidor.
A Big Família foi considerada a principal referência aspiracional para a Mina Pizza. O modelo de negócio, que combina almoço, marmitas e pizzas, é bastante "&amp;"semelhante ao objetivo estratégico definido para a empresa. Além disso, sua comunicação, identidade visual e presença digital demonstram um nível de maturidade superior, tornando-a um benchmark para futuras ações.
Esses concorrentes competem diretamente "&amp;"pelos mesmos clientes, horários de consumo, localização geográfica e intenção de compra., As alternativas indiretas atendem à mesma necessidade principal — alimentar-se com praticidade — porém utilizando propostas diferentes.
Entre elas estão restaurante"&amp;"s especializados em marmitas, self-service, comida caseira, lanchonetes, hamburguerias, pastelarias e outros estabelecimentos que oferecem refeições prontas para almoço ou jantar.
O próprio diagnóstico apontou que a expansão das marmitas representa uma o"&amp;"portunidade justamente porque o consumidor não procura apenas ""pizza""; durante a semana ele busca resolver rapidamente o almoço. Essa mudança de comportamento foi considerada uma das principais oportunidades de crescimento da Mina Pizza.
Também entram "&amp;"nessa categoria os estabelecimentos fortemente posicionados dentro do iFood, que aparecem antes da Mina Pizza graças ao investimento em mídia, avaliações e otimização da plataforma. e As alternativas substitutas mudam completamente a lógica de consumo.
O"&amp;" cliente pode decidir cozinhar em casa, comprar refeições prontas em supermercados, consumir alimentos congelados ou recorrer a conveniências e padarias próximas.
Outra alternativa substituta é simplesmente optar por uma refeição mais simples para evitar"&amp;" custos ou esforço de decisão.
Na prática, quando a jornada de compra da Mina Pizza apresenta atritos — dificuldade para localizar o restaurante, atendimento lento, ausência de informações claras ou canais pouco intuitivos — o consumidor tende a abandona"&amp;"r a intenção inicial e escolher a solução que exigir menos esforço.
Foi exatamente por esse motivo que, durante a consultoria, foi reforçado o princípio de experiência do usuário de ""não me faça pensar"", simplificando a jornada por meio de canais como "&amp;"WhatsApp Business, cardápios organizados e informações facilmente acessíveis..
Os motivos que fazem ele comprar atualmente seriam O cliente não acorda querendo comprar uma pizza ou uma marmita; ele busca resolver uma situação específica do seu dia.
Dura"&amp;"nte a semana, o gatilho mais comum é a falta de tempo. Depois de um dia de trabalho, ele quer uma refeição pronta, saborosa e confiável, sem precisar cozinhar ou perder tempo escolhendo entre dezenas de opções. No horário do almoço, procura uma comida que"&amp;" transmita a sensação de refeição caseira, com rapidez e bom custo-benefício.
Nos finais de semana, o gatilho muda. A pizza representa um momento de convivência: reunir a família, receber amigos ou simplesmente transformar uma noite comum em uma ocasião "&amp;"agradável. Nesses momentos, o cliente evita correr riscos escolhendo um restaurante desconhecido e tende a recorrer a marcas que já fazem parte da sua história.
Outro gatilho importante identificado nas reuniões é a busca por praticidade. Quando o consum"&amp;"idor encontra facilmente o restaurante no Google, acessa um cardápio organizado, faz o pedido rapidamente pelo WhatsApp e recebe um atendimento cordial, a decisão de compra se torna quase automática. e nosso maior diferencial é ""A tradição de São Vicente"&amp;", agora com uma experiência de pedido simples, rápida e confiável para quem quer pizzas, marmitas e refeições de qualidade sem abrir mão da confiança construída ao longo de décadas.""
Essa proposta reúne os principais diferenciais identificados nas reuni"&amp;"ões:
tradição comprovada;
reconhecimento local;
variedade de refeições para diferentes momentos de consumo;
modernização da jornada de compra;
foco na confiança e na recorrência.
Ela evita competir apenas por preço e posiciona a Mina Pizza como uma marc"&amp;"a que oferece segurança, praticidade e continuidade..
Além do nosso diferecial, o que nosso cliente espera conseguir é Os ganhos tangíveis para o cliente incluem:
menor tempo para concluir um pedido;
maior facilidade para encontrar informações;
atendime"&amp;"nto mais rápido e organizado;
variedade de opções para diferentes momentos de consumo;
maior confiança na decisão de compra.
Para a empresa, os ganhos esperados são:
aumento da frequência de compra;
maior retenção da base atual;
crescimento das vendas d"&amp;"e marmitas;
fortalecimento dos canais próprios;
redução gradual da dependência do iFood;
maior eficiência dos investimentos em mídia paga após a correção dos fundamentos digitais. mas também Os benefícios mais valiosos da proposta são emocionais e relacio"&amp;"nais.
O cliente volta a sentir que compra de uma empresa confiável, organizada e presente em sua rotina. A tradição deixa de ser apenas uma lembrança do passado e passa a representar uma escolha segura também no presente.
Com o tempo, fortalece-se a sen"&amp;"sação de pertencimento: a Mina Pizza deixa de ser apenas um restaurante e passa a ocupar um espaço na memória afetiva da comunidade, tornando-se a opção natural para diferentes ocasiões.
Para a empresa, isso significa uma reputação mais sólida, maior aut"&amp;"oridade regional, fidelização espontânea e aumento das indicações boca a boca — ativos difíceis de replicar apenas com investimento em publicidade.
Queremos produzir conteúdo para a rede INSTAGRAM.
E os públicos que podem acabar recebendo nosso conteúdo"&amp;" por estarmos postando nesta plataforma são: São pessoas que consomem conteúdo em intervalos curtos ao longo do dia, como durante o transporte, pausas no trabalho ou no banheiro. Preferem Reels de até 15 segundos, vídeos com legenda automática e ritmo ace"&amp;"lerado. Não têm paciência para conteúdo lento ou complexo. Se algo chamar atenção nos primeiros segundos, elas param. O pensamento dominante é: “me mostra logo o que eu ganho com isso”. Normalmente clicam apenas se o botão ou mensagem for mais chamativo q"&amp;"ue o próprio conteúdo. Esse público é excelente para produtos de giro rápido, promoções diretas, reviews e humor cotidiano., Esse grupo é formado por pessoas mais racionais, que observam muito antes de agir. Costumam acessar o Instagram no início da manhã"&amp;" ou no final do dia, e valorizam conteúdos que ensinam algo útil. Carrosséis explicativos, análises, frameworks e bastidores são os formatos que mais atraem. Eles raramente curtem ou comentam, mas salvam e voltam depois. Clicam mais em DMs, botões discret"&amp;"os e CTAs bem posicionados. São ideais para negócios B2B, serviços técnicos, consultorias e produtos de alto valor com foco em argumento lógico., Esse público é movido por aspiração e identidade. Querem encontrar referências de quem já chegou onde eles qu"&amp;"erem estar. Consomem frases com fundo preto, rotinas editadas, lifestyle e narrativas de superação. Estão presentes principalmente na madrugada e nas manhãs. Eles pensam: “quero ser alguém, quem já chegou lá?”. Engajam através de marcações, comentários de"&amp;" identificação e salvamentos emocionais. Conectam muito bem com conteúdos que falam sobre propósito, mudança de vida, estética e liberdade. São ótimos para marcas com storytelling forte, produtos aspiracionais e influenciadores., Formado por pessoas que u"&amp;"sam o Instagram como ferramenta de solução, esse público valoriza conteúdos que resolvem problemas reais. Consomem antes e depois, tutoriais curtos, dicas rápidas e explicações simples. Estão ativos ao longo do expediente e aos sábados. Pensam sempre: “is"&amp;"so resolve meu problema agora?”. Costumam clicar em stories com instruções claras, destaques de “como funciona” e enviar direct com dúvidas. São perfeitos para produtos de uso doméstico, alimentação, cuidados pessoais, serviços locais e soluções rápidas —"&amp;" inclusive papel higiênico., Aqui temos mães, pais e cuidadores que consomem Instagram como extensão da vida familiar. Acessam a plataforma de manhã, antes do caos começar, ou à noite, quando a casa está em silêncio. Preferem conteúdo que ajude na rotina,"&amp;" sem exigir esforço mental. Se conectam com memes sobre filhos, reviews de produtos, dicas financeiras e soluções práticas para o dia a dia. Detestam jargões, enrolação e vídeos confusos. Clicam em stories com explicação leve, CTAs contextuais e depoiment"&amp;"os reais. Perfeitos para nichos de lar, saúde, limpeza, alimentação e bem-estar familiar., Esse público vive atrás de ofertas, novidades e condições especiais. Estão atentos a cupons, lançamentos e conteúdos com gatilhos de escassez ou urgência. Acessam o"&amp;" Instagram ao longo do dia, com mais força nas quintas e sextas. Pensam: “se eu não aproveitar isso agora, vou me arrepender”. Clicam imediatamente em botões chamativos, muitas vezes sem nem ler a legenda toda. Ideais para ecommerce, campanhas de lançamen"&amp;"to, datas sazonais, produtos promocionais e qualquer conteúdo que envolva vantagem imediata..
Os principais temas que trabalhamos são: Dor e Alívio, Escolha Certa, Vida Nova.
Dentro de Dor e Alívio nós temos os subtemas  Problemas Comuns,  Impactos na R"&amp;"otina,  Sinais de Troca
Dentro de Escolha Certa nós temos os subtemas  Tipos de Colchões,  Guia de Compra,  Prova Social
Dentro de Vida Nova nós temos os subtemas  Benefícios Imediatos,  Estilo de Vida,  Qualidade de Vida
Além disso em cada subtema tem"&amp;"os as linhas de conteúdo
Em Problemas Comuns temos Dores ao Acordar, Colchão Afundado, Sono Interrompido
Em Impactos na Rotina temos Cansaço Diário, Mau Humor Matinal, Falta de Energia
Em Sinais de Troca temos Colchão Vencido, Barulho ao Virar, Marcas "&amp;"no Corpo
Em Tipos de Colchões temos Espuma vs Molas, Firmeza Ideal, Altura e Conforto
Em Guia de Compra temos Como Escolher, Erros Frequentes, Testar na Loja
Em Prova Social temos Depoimentos Reais, Antes e Depois, Histórias de Troca
Em Benefícios Ime"&amp;"diatos temos Dormir Melhor Hoje, Conforto Renovado, Acordar Leve
Em Estilo de Vida temos Quarto dos Sonhos, Autocuidado Noturno, Bem-estar Diário
Em Qualidade de Vida temos Sono e Saúde, Rendimento Pessoal, Relação com o Sono
Utilize então os temas de "&amp;"forma variada, para criar um funil completo de conteúdo.
Crie a linha editorial completa para minha semana.
Cada post precisa ter: 
Tema
Subtema
Ideia para o post
Insight/Conteúdo do post")</f>
        <v>Você tem a tarefa de criar uma linha editorial completa de conteúdos de alto impacto.
O cliente é MINA PIZZA, que atende na região São Vicente - SP  e vende o produto Pizzas, Marmitas, Pastéis e Refeições Delivery e este mês Não Temos Sazonalidade
Gostaria de dar um foco especial para Durante muitos anos, a Mina Pizza construiu sua clientela principalmente pela localização, tradição e indicação.
Esse modelo foi suficiente enquanto o comportamento de compra era predominantemente presencial ou telefônico. Entretanto, o mercado mudou.
Hoje, antes de escolher um restaurante, o consumidor pesquisa no Google, compara avaliações, consulta fotos, verifica horários, busca facilidade para pedir e espera respostas rápidas pelos canais digitais.
Nas reuniões foi constatado que existiam problemas como localização incorreta no Google, avaliações sem resposta, Instagram desatualizado, inconsistências de identidade da marca e limitações na apresentação do cardápio digital. Esses fatores reduzem a confiança de novos consumidores antes mesmo do primeiro pedido.
Ao mesmo tempo, concorrentes investem continuamente em Google Ads, Meta Ads, presença digital e conteúdos visuais, aumentando sua vantagem competitiva.
Nossa marca se comunica com os clientes com um tom Próximo, acolhedor e tradicional, usando uma linguagem Simples e objetiva, com linguagem regional e foco em confiança e tradição com o objetivo de deixar o público Que encontrou um restaurante de confiança, com tradição, atendimento próximo e comida de qualidade para compartilhar com a família sem preocupação..
Precisamos que você entregue uma linha editorial completa para uma semana levando em conta que postamos 3 Conteúdos por Semana.
Nosso público basicamente é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Além disso, ele enfrenta desafios como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e dores como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Nós mapeamos que a causa por trás dos problemas dele é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Mas isso não precisa ser o centro de todos os conteúdos.
Sabemos atualmente que ele pode ter algumas alternativas a nossa empresa como,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e 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
Os motivos que fazem ele comprar atualmente seriam O cliente não acorda querendo comprar uma pizza ou uma marmita; ele busca resolver uma situação específica do seu dia.
Durante a semana, o gatilho mais comum é a falta de tempo. Depois de um dia de trabalho, ele quer uma refeição pronta, saborosa e confiável, sem precisar cozinhar ou perder tempo escolhendo entre dezenas de opções. No horário do almoço, procura uma comida que transmita a sensação de refeição caseira, com rapidez e bom custo-benefício.
Nos finais de semana, o gatilho muda. A pizza representa um momento de convivência: reunir a família, receber amigos ou simplesmente transformar uma noite comum em uma ocasião agradável. Nesses momentos, o cliente evita correr riscos escolhendo um restaurante desconhecido e tende a recorrer a marcas que já fazem parte da sua história.
Outro gatilho importante identificado nas reuniões é a busca por praticidade. Quando o consumidor encontra facilmente o restaurante no Google, acessa um cardápio organizado, faz o pedido rapidamente pelo WhatsApp e recebe um atendimento cordial, a decisão de compra se torna quase automática. e nosso maior diferencial é "A tradição de São Vicente, agora com uma experiência de pedido simples, rápida e confiável para quem quer pizzas, marmitas e refeições de qualidade sem abrir mão da confiança construída ao longo de décadas."
Essa proposta reúne os principais diferenciais identificados nas reuniões:
tradição comprovada;
reconhecimento local;
variedade de refeições para diferentes momentos de consumo;
modernização da jornada de compra;
foco na confiança e na recorrência.
Ela evita competir apenas por preço e posiciona a Mina Pizza como uma marca que oferece segurança, praticidade e continuidade..
Além do nosso diferecial, o que nosso cliente espera conseguir é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mas também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Queremos produzir conteúdo para a rede INSTAGRAM.
E os públicos que podem acabar recebendo nosso conteúdo por estarmos postando nesta plataforma são: São pessoas que consomem conteúdo em intervalos curtos ao longo do dia, como durante o transporte, pausas no trabalho ou no banheiro. Preferem Reels de até 15 segundos, vídeos com legenda automática e ritmo acelerado. Não têm paciência para conteúdo lento ou complexo. Se algo chamar atenção nos primeiros segundos, elas param. O pensamento dominante é: “me mostra logo o que eu ganho com isso”. Normalmente clicam apenas se o botão ou mensagem for mais chamativo que o próprio conteúdo. Esse público é excelente para produtos de giro rápido, promoções diretas, reviews e humor cotidiano., Esse grupo é formado por pessoas mais racionais, que observam muito antes de agir. Costumam acessar o Instagram no início da manhã ou no final do dia, e valorizam conteúdos que ensinam algo útil. Carrosséis explicativos, análises, frameworks e bastidores são os formatos que mais atraem. Eles raramente curtem ou comentam, mas salvam e voltam depois. Clicam mais em DMs, botões discretos e CTAs bem posicionados. São ideais para negócios B2B, serviços técnicos, consultorias e produtos de alto valor com foco em argumento lógico., Esse público é movido por aspiração e identidade. Querem encontrar referências de quem já chegou onde eles querem estar. Consomem frases com fundo preto, rotinas editadas, lifestyle e narrativas de superação. Estão presentes principalmente na madrugada e nas manhãs. Eles pensam: “quero ser alguém, quem já chegou lá?”. Engajam através de marcações, comentários de identificação e salvamentos emocionais. Conectam muito bem com conteúdos que falam sobre propósito, mudança de vida, estética e liberdade. São ótimos para marcas com storytelling forte, produtos aspiracionais e influenciadores., Formado por pessoas que usam o Instagram como ferramenta de solução, esse público valoriza conteúdos que resolvem problemas reais. Consomem antes e depois, tutoriais curtos, dicas rápidas e explicações simples. Estão ativos ao longo do expediente e aos sábados. Pensam sempre: “isso resolve meu problema agora?”. Costumam clicar em stories com instruções claras, destaques de “como funciona” e enviar direct com dúvidas. São perfeitos para produtos de uso doméstico, alimentação, cuidados pessoais, serviços locais e soluções rápidas — inclusive papel higiênico., Aqui temos mães, pais e cuidadores que consomem Instagram como extensão da vida familiar. Acessam a plataforma de manhã, antes do caos começar, ou à noite, quando a casa está em silêncio. Preferem conteúdo que ajude na rotina, sem exigir esforço mental. Se conectam com memes sobre filhos, reviews de produtos, dicas financeiras e soluções práticas para o dia a dia. Detestam jargões, enrolação e vídeos confusos. Clicam em stories com explicação leve, CTAs contextuais e depoimentos reais. Perfeitos para nichos de lar, saúde, limpeza, alimentação e bem-estar familiar., Esse público vive atrás de ofertas, novidades e condições especiais. Estão atentos a cupons, lançamentos e conteúdos com gatilhos de escassez ou urgência. Acessam o Instagram ao longo do dia, com mais força nas quintas e sextas. Pensam: “se eu não aproveitar isso agora, vou me arrepender”. Clicam imediatamente em botões chamativos, muitas vezes sem nem ler a legenda toda. Ideais para ecommerce, campanhas de lançamento, datas sazonais, produtos promocionais e qualquer conteúdo que envolva vantagem imediata..
Os principais temas que trabalhamos são: Dor e Alívio, Escolha Certa, Vida Nova.
Dentro de Dor e Alívio nós temos os subtemas  Problemas Comuns,  Impactos na Rotina,  Sinais de Troca
Dentro de Escolha Certa nós temos os subtemas  Tipos de Colchões,  Guia de Compra,  Prova Social
Dentro de Vida Nova nós temos os subtemas  Benefícios Imediatos,  Estilo de Vida,  Qualidade de Vida
Além disso em cada subtema temos as linhas de conteúdo
Em Problemas Comuns temos Dores ao Acordar, Colchão Afundado, Sono Interrompido
Em Impactos na Rotina temos Cansaço Diário, Mau Humor Matinal, Falta de Energia
Em Sinais de Troca temos Colchão Vencido, Barulho ao Virar, Marcas no Corpo
Em Tipos de Colchões temos Espuma vs Molas, Firmeza Ideal, Altura e Conforto
Em Guia de Compra temos Como Escolher, Erros Frequentes, Testar na Loja
Em Prova Social temos Depoimentos Reais, Antes e Depois, Histórias de Troca
Em Benefícios Imediatos temos Dormir Melhor Hoje, Conforto Renovado, Acordar Leve
Em Estilo de Vida temos Quarto dos Sonhos, Autocuidado Noturno, Bem-estar Diário
Em Qualidade de Vida temos Sono e Saúde, Rendimento Pessoal, Relação com o Sono
Utilize então os temas de forma variada, para criar um funil completo de conteúdo.
Crie a linha editorial completa para minha semana.
Cada post precisa ter: 
Tema
Subtema
Ideia para o post
Insight/Conteúdo do post</v>
      </c>
    </row>
    <row r="3" ht="21.75" customHeight="1">
      <c r="A3" s="8" t="s">
        <v>720</v>
      </c>
      <c r="B3" s="40" t="str">
        <f>IFERROR(__xludf.DUMMYFUNCTION("""Você tem a tarefa de criar um roteiro de vídeo de alto impacto.
O cliente é "" &amp; POSICIONAMENTO!B3 &amp; "", que atende na região "" &amp; POSICIONAMENTO!C3 &amp; "" e vende o produto "" &amp; POSICIONAMENTO!F3 &amp; "", com modelo de negócio "" &amp; POSICIONAMENTO!D3 &amp; "". "&amp;"Este mês "" &amp; POSICIONAMENTO!G3 &amp; "".
Nosso público-alvo é: "" &amp; 'USE CASE MAP'!B3 &amp; ""
Essa persona está em busca de: "" &amp; 'USE CASE MAP'!C3 &amp; ""
O principal desafio enfrentado é: "" &amp; 'USE CASE MAP'!D3 &amp; ""
As dores mais relevantes são: "" &amp; 'USE CA"&amp;"SE MAP'!E3 &amp; ""
Ela precisa de: "" &amp; 'USE CASE MAP'!F3 &amp; ""
Deseja alcançar: "" &amp; 'USE CASE MAP'!G3 &amp; ""
Sua linguagem é: "" &amp; 'USE CASE MAP'!H3 &amp; ""
O problema central é: "" &amp; 'USE CASE MAP'!B7 &amp; ""
Contexto atual: "" &amp; 'USE CASE MAP'!C7 &amp; ""
Como "&amp;"essa pessoa lida com isso hoje: "" &amp; 'USE CASE MAP'!D7 &amp; ""
Frases reais que ela usa: "" &amp; 'USE CASE MAP'!E7 &amp; ""
A causa real por trás desse problema é: "" &amp; 'USE CASE MAP'!F7 &amp; ""
Frequência com que sente esse problema: "" &amp; 'USE CASE MAP'!G7 &amp; ""
A"&amp;"lternativas que essa persona considera:
- Diretas: "" &amp; 'USE CASE MAP'!B11 &amp; ""
- Indiretas: "" &amp; 'USE CASE MAP'!C11 &amp; ""
- Substitutas: "" &amp; 'USE CASE MAP'!D11 &amp; ""
Gatilhos que levam à compra: "" &amp; 'USE CASE MAP'!E11 &amp; ""
Nosso diferencial percebido é"&amp;": "" &amp; 'USE CASE MAP'!F11 &amp; ""
Benefícios de curto prazo esperados: "" &amp; 'USE CASE MAP'!G11 &amp; ""
Benefícios de longo prazo esperados: "" &amp; 'USE CASE MAP'!H11 &amp; ""
A comunicação da marca deve ter um tom "" &amp; POSICIONAMENTO!B7 &amp; "", usando uma linguagem "&amp;""" &amp; POSICIONAMENTO!C7 &amp; "", com o objetivo de fazer com que a persona sinta: "" &amp; POSICIONAMENTO!D7 &amp; "".
O vídeo será publicado na plataforma "" &amp; CANAIS!A1 &amp; "" e os públicos que podem acabar recebendo esse conteúdo são: "" &amp; TEXTJOIN("", "", TRUE, FI"&amp;"LTER(CANAIS!B5:H5, CANAIS!B4:H4=""SIM"")) &amp; "".
Sua estrutura deve conter:
- Um gancho forte nos primeiros 3 segundos
- Fechamento com CTA que gere autoridade, empatia e desejo
- Legenda para o post
- Hashtags para o post
- Orientação Visual do post
Ao "&amp;"receber a ideia, escolha a melhor estrutura entre estas:
1. Dor &gt; Solução &gt; CTA
2. Curiosidade &gt; Descoberta &gt; Valor
3. Autoridade &gt; Prova &gt; Direcionamento
4. Atenção &gt; Interesse &gt; Desejo &gt; Ação
5. Causa &gt; Consequência &gt; Caminho
6. Sintoma &gt; Diagnóstico &gt; "&amp;"Tratamento
7. Situação &gt; Conflito &gt; Transformação
8. Problema Invisível &gt; Revelação &gt; Novo Caminho
Quando finalizar de ler todo o material acima diga:
Entendi perfeitamente sobre quem devo criar o material, agora me diga qual a ideia."""),"Você tem a tarefa de criar um roteiro de vídeo de alto impacto.
O cliente é MINA PIZZA, que atende na região São Vicente - SP  e vende o produto Pizzas, Marmitas, Pastéis e Refeições Delivery, com modelo de negócio Negócio Local (loja física, restaurante"&amp;", clínica etc.). Este mês Não Temos Sazonalidade.
Nosso público-alvo é: O público principal da Mina Pizza não procura apenas uma pizzaria. Ele procura um estabelecimento que já faz parte da rotina da família e transmite confiança. São moradores de São Vi"&amp;"cente e cidades próximas que trabalham durante o dia, possuem pouco tempo para cozinhar e valorizam estabelecimentos tradicionais que entreguem qualidade consistente sem complicação.
Grande parte desse público conheceu a empresa por indicação, pela local"&amp;"ização ou por muitos anos de operação. Não é um consumidor que busca tendências gastronômicas ou restaurantes ""instagramáveis"". Seu comportamento é orientado por previsibilidade: ele prefere comprar onde já sabe que será bem atendido e receberá um produ"&amp;"to que conhece.
Além da pizza, existe uma oportunidade importante de expansão por meio das marmitas e refeições do dia, aproveitando um hábito de consumo recorrente durante a semana, estratégia já identificada nas reuniões de planejamento.
Essa persona "&amp;"está em busca de: O principal objetivo desse cliente é resolver uma necessidade cotidiana de alimentação com rapidez, praticidade e segurança. Ele deseja evitar o desgaste de cozinhar, ganhar tempo após um dia de trabalho e alimentar a família sem correr "&amp;"riscos ao experimentar locais desconhecidos.
Quando pede uma pizza, busca um momento de lazer e convivência familiar. Quando compra uma marmita, procura uma solução prática para o almoço sem perder a sensação de comida caseira.
Existe também uma motivaç"&amp;"ão emocional importante: consumir em um local tradicional reforça a sensação de pertencimento e continuidade de uma rotina construída ao longo dos anos.
O principal desafio enfrentado é: Embora seja um cliente fiel, sua permanência não é garantida. O aum"&amp;"ento das opções de delivery e a facilidade de comparação entre restaurantes tornam a experiência de atendimento um fator decisivo.
Nas reuniões foram identificados desafios operacionais que impactam diretamente essa percepção, como dificuldades no atendi"&amp;"mento telefônico, demora na resposta, falta de padronização e limitações nos canais digitais.
Outro desafio é que esse público não deseja aprender processos novos para fazer um pedido. Quanto mais simples for a jornada — especialmente via WhatsApp — maio"&amp;"r tende a ser a conversão. Essa necessidade de simplificação também foi destacada durante o diagnóstico.
As dores mais relevantes são: A principal dor não está relacionada apenas ao produto, mas à experiência completa.
Quando decide pedir comida, o clie"&amp;"nte espera rapidez, clareza e cordialidade. Qualquer atrito durante esse processo reduz sua confiança na marca.
As reuniões identificaram reclamações recorrentes envolvendo atendimento telefônico ríspido, demora, falta de informações sobre produtos e dif"&amp;"iculdades durante o pedido, pontos confirmados tanto pelas avaliações públicas quanto pelo teste de cliente oculto.
Algumas expressões que representam esse sentimento são:
""Toda vez preciso ligar mais de uma vez.""
""Nunca sei quais pratos têm hoje.""
"&amp;"""Quem atende parece estar com pressa.""
""Achei que a qualidade caiu.""
""Está ficando caro pelo que entrega.""
""Prefiro pedir onde respondem mais rápido.""
Ela precisa de: Mais do que alimentação, esse cliente precisa de previsibilidade.
Ele deseja e"&amp;"ncontrar facilmente a empresa no Google, visualizar o cardápio atualizado, receber atendimento rápido pelo WhatsApp, ter informações claras sobre preços e opções disponíveis e concluir o pedido sem esforço.
Também existe uma necessidade crescente de rela"&amp;"cionamento. O público valoriza sentir que é reconhecido, lembrado e respeitado durante o atendimento, aspecto discutido na aplicação da metodologia Jobs to Be Done durante a consultoria.
Deseja alcançar: O cliente deseja manter a confiança construída ao "&amp;"longo dos anos, mas espera perceber evolução na empresa.
Ele quer continuar comprando na Mina Pizza sabendo que encontrará uma operação mais moderna, organizada e eficiente, sem perder a tradição que o fez se tornar cliente.
Também busca praticidade par"&amp;"a repetir pedidos, receber novidades, promoções e cardápios sem precisar procurar informações em diversos canais.
Essa combinação entre tradição e modernização foi definida como o posicionamento estratégico de ""tradição redescoberta"" nas reuniões de di"&amp;"agnóstico.
Sua linguagem é: A comunicação ideal para esse público deve ser simples, objetiva e acolhedora.
O diagnóstico concluiu que o cliente da Mina Pizza responde melhor a uma linguagem direta, evitando excesso de memes, tendências ou conteúdos exce"&amp;"ssivamente informais. A recomendação foi priorizar clareza, tradição e proximidade no tom de voz da marca.
Esse público costuma utilizar expressões como:
""Vou pedir a pizza de sempre.""
""Tem marmita hoje?""
""Manda o cardápio no WhatsApp.""
""Quanto t"&amp;"empo demora?""
""Vocês entregam aqui?""
""Quero uma comida boa sem complicação.""
Essa forma de comunicação demonstra que o cliente valoriza objetividade e conveniência, e espera que a empresa acompanhe esse mesmo padrão em todos os pontos de contato.
O"&amp;" problema central é: A Mina Pizza possui uma marca tradicional e reconhecida localmente, porém sua operação digital e parte da experiência de atendimento ainda não acompanham as expectativas atuais do consumidor.
Isso gera um cenário em que novos cliente"&amp;"s encontram barreiras para conhecer a empresa, enquanto clientes antigos percebem inconsistências que podem comprometer sua fidelidade. O problema deixa de ser apenas operacional e passa a impactar diretamente o crescimento do negócio.
O diagnóstico tamb"&amp;"ém mostrou baixa maturidade digital, com deficiência na gestão do Google Meu Negócio, ausência de campanhas estruturadas, pouca constância nas redes sociais e dependência elevada de plataformas terceiras.
Contexto atual: Durante muitos anos, a Mina Pizza"&amp;" construiu sua clientela principalmente pela localização, tradição e indicação.
Esse modelo foi suficiente enquanto o comportamento de compra era predominantemente presencial ou telefônico. Entretanto, o mercado mudou.
Hoje, antes de escolher um restaur"&amp;"ante, o consumidor pesquisa no Google, compara avaliações, consulta fotos, verifica horários, busca facilidade para pedir e espera respostas rápidas pelos canais digitais.
Nas reuniões foi constatado que existiam problemas como localização incorreta no G"&amp;"oogle, avaliações sem resposta, Instagram desatualizado, inconsistências de identidade da marca e limitações na apresentação do cardápio digital. Esses fatores reduzem a confiança de novos consumidores antes mesmo do primeiro pedido.
Ao mesmo tempo, conc"&amp;"orrentes investem continuamente em Google Ads, Meta Ads, presença digital e conteúdos visuais, aumentando sua vantagem competitiva.
Como essa pessoa lida com isso hoje: Na ausência de uma experiência digital consistente, o cliente busca alternativas para"&amp;" reduzir o esforço da compra.
Ele costuma ligar diretamente para o restaurante, procurar informações nas avaliações do Google, acessar o iFood para verificar cardápio e preços ou simplesmente escolher um concorrente cuja jornada seja mais rápida e intuit"&amp;"iva.
Clientes antigos frequentemente continuam comprando pela confiança construída ao longo dos anos, mas clientes novos tendem a desistir diante de pequenas dificuldades.
O diagnóstico também identificou que muitos consumidores acabam permanecendo no i"&amp;"Food pela praticidade, mesmo quando a empresa deseja migrá-los para canais próprios, como o WhatsApp Business, reduzindo a dependência da plataforma.
Frases reais que ela usa: A dor percebida pelo cliente não costuma ser verbalizada em termos técnicos. E"&amp;"la aparece em comentários simples que refletem frustração durante a jornada de compra.
Expressões compatíveis com o cenário identificado nas reuniões incluem:
""Não consegui falar com ninguém.""
""Demoraram para atender.""
""Não achei o cardápio.""
""Nã"&amp;"o sabia quanto custava.""
""Achei que tinham fechado.""
""No iFood foi mais fácil pedir.""
""Quem me atendeu parecia sem paciência.""
O teste de cliente oculto confirmou dificuldades como espera elevada, falta de informações sobre produtos, conversas par"&amp;"alelas durante o atendimento telefônico e tom de voz considerado ríspido, reforçando críticas já presentes nas avaliações online.
A causa real por trás desse problema é: A causa do problema não está na qualidade da marca ou na ausência de mercado.
Ela r"&amp;"esulta da combinação de fatores operacionais e digitais que se acumularam ao longo do tempo.
Entre os principais fatores identificados durante a consultoria estão:
baixa maturidade digital;
ausência de rotina para gestão de reputação online;
inconsistên"&amp;"cia entre os canais digitais;
atendimento telefônico sem protocolo padronizado;
dependência excessiva do iFood;
adoção tardia de ferramentas como WhatsApp Business;
dificuldade em apresentar corretamente o portfólio de produtos, especialmente marmitas.
E"&amp;"m outras palavras, o negócio possui valor percebido pela tradição, mas ainda não transformou esse patrimônio em uma operação preparada para competir no ambiente digital.
Frequência com que sente esse problema: Esse problema é constante.
Todos os dias no"&amp;"vos consumidores pesquisam restaurantes antes de decidir onde comprar, enquanto clientes recorrentes avaliam cada interação para decidir se continuarão comprando da mesma empresa.
Cada ligação mal conduzida, avaliação sem resposta, dificuldade para encon"&amp;"trar informações ou atendimento demorado representa uma oportunidade perdida de venda ou fidelização.
Por isso, durante o planejamento, foi definida como prioridade a reorganização da presença digital, a implementação do WhatsApp Business, a padronização"&amp;" do atendimento e a gestão ativa das avaliações antes de ampliar os investimentos em mídia paga.
Alternativas que essa persona considera:
- Diretas: As alternativas diretas são empresas que disputam exatamente o mesmo espaço mental do consumidor: quando"&amp;" ele decide pedir uma pizza, uma marmita ou uma refeição pronta na região de São Vicente.
O principal concorrente identificado durante a consultoria foi o Império da Pizza, que possui forte presença no Google, Instagram e iFood, além de operar mais de um"&amp;"a unidade física. Seu diferencial está na consistência da presença digital e na facilidade de ser encontrado quando o consumidor pesquisa por pizzarias na região.
Outro concorrente relevante é o Café com Pizza, que apresenta alto volume de avaliações e b"&amp;"oa exposição no iFood. Apesar de possuir um posicionamento mais genérico, sua presença constante nas plataformas digitais faz com que participe diretamente da decisão de compra do consumidor.
A Big Família foi considerada a principal referência aspiracio"&amp;"nal para a Mina Pizza. O modelo de negócio, que combina almoço, marmitas e pizzas, é bastante semelhante ao objetivo estratégico definido para a empresa. Além disso, sua comunicação, identidade visual e presença digital demonstram um nível de maturidade s"&amp;"uperior, tornando-a um benchmark para futuras ações.
Esses concorrentes competem diretamente pelos mesmos clientes, horários de consumo, localização geográfica e intenção de compra.
- Indiretas: As alternativas indiretas atendem à mesma necessidade princ"&amp;"ipal — alimentar-se com praticidade — porém utilizando propostas diferentes.
Entre elas estão restaurantes especializados em marmitas, self-service, comida caseira, lanchonetes, hamburguerias, pastelarias e outros estabelecimentos que oferecem refeições "&amp;"prontas para almoço ou jantar.
O próprio diagnóstico apontou que a expansão das marmitas representa uma oportunidade justamente porque o consumidor não procura apenas ""pizza""; durante a semana ele busca resolver rapidamente o almoço. Essa mudança de co"&amp;"mportamento foi considerada uma das principais oportunidades de crescimento da Mina Pizza.
Também entram nessa categoria os estabelecimentos fortemente posicionados dentro do iFood, que aparecem antes da Mina Pizza graças ao investimento em mídia, avalia"&amp;"ções e otimização da plataforma.
- Substitutas: As alternativas substitutas mudam completamente a lógica de consumo.
O cliente pode decidir cozinhar em casa, comprar refeições prontas em supermercados, consumir alimentos congelados ou recorrer a conveniê"&amp;"ncias e padarias próximas.
Outra alternativa substituta é simplesmente optar por uma refeição mais simples para evitar custos ou esforço de decisão.
Na prática, quando a jornada de compra da Mina Pizza apresenta atritos — dificuldade para localizar o re"&amp;"staurante, atendimento lento, ausência de informações claras ou canais pouco intuitivos — o consumidor tende a abandonar a intenção inicial e escolher a solução que exigir menos esforço.
Foi exatamente por esse motivo que, durante a consultoria, foi refo"&amp;"rçado o princípio de experiência do usuário de ""não me faça pensar"", simplificando a jornada por meio de canais como WhatsApp Business, cardápios organizados e informações facilmente acessíveis.
Gatilhos que levam à compra: O cliente não acorda querend"&amp;"o comprar uma pizza ou uma marmita; ele busca resolver uma situação específica do seu dia.
Durante a semana, o gatilho mais comum é a falta de tempo. Depois de um dia de trabalho, ele quer uma refeição pronta, saborosa e confiável, sem precisar cozinhar "&amp;"ou perder tempo escolhendo entre dezenas de opções. No horário do almoço, procura uma comida que transmita a sensação de refeição caseira, com rapidez e bom custo-benefício.
Nos finais de semana, o gatilho muda. A pizza representa um momento de convivênc"&amp;"ia: reunir a família, receber amigos ou simplesmente transformar uma noite comum em uma ocasião agradável. Nesses momentos, o cliente evita correr riscos escolhendo um restaurante desconhecido e tende a recorrer a marcas que já fazem parte da sua história"&amp;".
Outro gatilho importante identificado nas reuniões é a busca por praticidade. Quando o consumidor encontra facilmente o restaurante no Google, acessa um cardápio organizado, faz o pedido rapidamente pelo WhatsApp e recebe um atendimento cordial, a deci"&amp;"são de compra se torna quase automática.
Nosso diferencial percebido é: O maior diferencial competitivo da Mina Pizza não é apenas vender pizzas, marmitas ou pastéis. É possuir uma história autêntica construída ao longo de décadas, combinada com um proje"&amp;"to de modernização que preserva essa identidade.
Enquanto muitos concorrentes precisam criar narrativas para transmitir tradição, a Mina Pizza possui um legado real que pode ser utilizado como elemento de diferenciação. Esse posicionamento foi reconhecid"&amp;"o nas reuniões como uma vantagem estratégica relevante.
Além da tradição, outros diferenciais fortalecem essa proposta:
diversidade de produtos para diferentes momentos de consumo (pizza, marmitas e pastéis);
reconhecimento local consolidado;
relacionam"&amp;"ento próximo com clientes recorrentes;
potencial para oferecer uma experiência simples e eficiente por canais próprios, reduzindo a dependência de plataformas.
Quando esses elementos são combinados com atendimento padronizado, boa gestão da reputação onl"&amp;"ine e presença digital consistente, a empresa deixa de competir apenas por preço e passa a competir por confiança
Benefícios de curto prazo esperados: Os benefícios percebidos imediatamente pelo cliente são práticos e facilmente mensuráveis.
Ele consegu"&amp;"e encontrar a empresa com facilidade, visualizar informações atualizadas, acessar um cardápio organizado, realizar o pedido sem esforço e receber um atendimento mais rápido e cordial.
Essas melhorias reduzem o tempo entre a intenção de compra e a conclus"&amp;"ão do pedido, diminuem a insegurança durante a escolha e aumentam a satisfação logo na primeira experiência.
Do ponto de vista emocional, o cliente sente tranquilidade ao perceber que está comprando de uma empresa organizada, acessível e preparada para a"&amp;"tendê-lo.
Grande parte das ações propostas durante a consultoria — implementação do WhatsApp Business, padronização do atendimento, atualização do Google Meu Negócio e organização da presença digital — foi planejada justamente para gerar esse ganho imedi"&amp;"ato.
Benefícios de longo prazo esperados: A transformação mais importante acontece ao longo do relacionamento.
O cliente passa a enxergar a Mina Pizza não apenas como um restaurante tradicional, mas como a primeira opção quando pensa em refeições prátic"&amp;"as e confiáveis na região.
Essa percepção fortalece a fidelização, aumenta a frequência de compra e estimula recomendações espontâneas para familiares e amigos, reduzindo a necessidade de depender exclusivamente de promoções ou mídia paga para gerar vend"&amp;"as.
Para a empresa, isso representa uma base de clientes mais sólida, maior previsibilidade de receita e crescimento sustentado por reputação, relacionamento e recorrência.
Esse objetivo está diretamente alinhado à estratégia definida nas reuniões: fort"&amp;"alecer canais próprios, aumentar a retenção da base atual e utilizar a tradição da marca como principal ativo competitivo, apoiado por uma operação digital mais eficiente.
A comunicação da marca deve ter um tom Próximo, acolhedor e tradicional, usando um"&amp;"a linguagem Simples e objetiva, com linguagem regional e foco em confiança e tradição, com o objetivo de fazer com que a persona sinta: Que encontrou um restaurante de confiança, com tradição, atendimento próximo e comida de qualidade para compartilhar co"&amp;"m a família sem preocupação..
O vídeo será publicado na plataforma INSTAGRAM e os públicos que podem acabar recebendo esse conteúdo são: São pessoas que consomem conteúdo em intervalos curtos ao longo do dia, como durante o transporte, pausas no trabalho"&amp;" ou no banheiro. Preferem Reels de até 15 segundos, vídeos com legenda automática e ritmo acelerado. Não têm paciência para conteúdo lento ou complexo. Se algo chamar atenção nos primeiros segundos, elas param. O pensamento dominante é: “me mostra logo o "&amp;"que eu ganho com isso”. Normalmente clicam apenas se o botão ou mensagem for mais chamativo que o próprio conteúdo. Esse público é excelente para produtos de giro rápido, promoções diretas, reviews e humor cotidiano., Esse grupo é formado por pessoas mais"&amp;" racionais, que observam muito antes de agir. Costumam acessar o Instagram no início da manhã ou no final do dia, e valorizam conteúdos que ensinam algo útil. Carrosséis explicativos, análises, frameworks e bastidores são os formatos que mais atraem. Eles"&amp;" raramente curtem ou comentam, mas salvam e voltam depois. Clicam mais em DMs, botões discretos e CTAs bem posicionados. São ideais para negócios B2B, serviços técnicos, consultorias e produtos de alto valor com foco em argumento lógico., Esse público é m"&amp;"ovido por aspiração e identidade. Querem encontrar referências de quem já chegou onde eles querem estar. Consomem frases com fundo preto, rotinas editadas, lifestyle e narrativas de superação. Estão presentes principalmente na madrugada e nas manhãs. Eles"&amp;" pensam: “quero ser alguém, quem já chegou lá?”. Engajam através de marcações, comentários de identificação e salvamentos emocionais. Conectam muito bem com conteúdos que falam sobre propósito, mudança de vida, estética e liberdade. São ótimos para marcas"&amp;" com storytelling forte, produtos aspiracionais e influenciadores., Formado por pessoas que usam o Instagram como ferramenta de solução, esse público valoriza conteúdos que resolvem problemas reais. Consomem antes e depois, tutoriais curtos, dicas rápidas"&amp;" e explicações simples. Estão ativos ao longo do expediente e aos sábados. Pensam sempre: “isso resolve meu problema agora?”. Costumam clicar em stories com instruções claras, destaques de “como funciona” e enviar direct com dúvidas. São perfeitos para pr"&amp;"odutos de uso doméstico, alimentação, cuidados pessoais, serviços locais e soluções rápidas — inclusive papel higiênico., Aqui temos mães, pais e cuidadores que consomem Instagram como extensão da vida familiar. Acessam a plataforma de manhã, antes do cao"&amp;"s começar, ou à noite, quando a casa está em silêncio. Preferem conteúdo que ajude na rotina, sem exigir esforço mental. Se conectam com memes sobre filhos, reviews de produtos, dicas financeiras e soluções práticas para o dia a dia. Detestam jargões, enr"&amp;"olação e vídeos confusos. Clicam em stories com explicação leve, CTAs contextuais e depoimentos reais. Perfeitos para nichos de lar, saúde, limpeza, alimentação e bem-estar familiar., Esse público vive atrás de ofertas, novidades e condições especiais. Es"&amp;"tão atentos a cupons, lançamentos e conteúdos com gatilhos de escassez ou urgência. Acessam o Instagram ao longo do dia, com mais força nas quintas e sextas. Pensam: “se eu não aproveitar isso agora, vou me arrepender”. Clicam imediatamente em botões cham"&amp;"ativos, muitas vezes sem nem ler a legenda toda. Ideais para ecommerce, campanhas de lançamento, datas sazonais, produtos promocionais e qualquer conteúdo que envolva vantagem imediata..
Sua estrutura deve conter:
- Um gancho forte nos primeiros 3 segund"&amp;"os
- Fechamento com CTA que gere autoridade, empatia e desejo
- Legenda para o post
- Hashtags para o post
- Orientação Visual do post
Ao receber a ideia, escolha a melhor estrutura entre estas:
1. Dor &gt; Solução &gt; CTA
2. Curiosidade &gt; Descoberta &gt; Valor
"&amp;"3. Autoridade &gt; Prova &gt; Direcionamento
4. Atenção &gt; Interesse &gt; Desejo &gt; Ação
5. Causa &gt; Consequência &gt; Caminho
6. Sintoma &gt; Diagnóstico &gt; Tratamento
7. Situação &gt; Conflito &gt; Transformação
8. Problema Invisível &gt; Revelação &gt; Novo Caminho
Quando finalizar"&amp;" de ler todo o material acima diga:
Entendi perfeitamente sobre quem devo criar o material, agora me diga qual a ideia.")</f>
        <v>Você tem a tarefa de criar um roteiro de vídeo de alto impacto.
O cliente é MINA PIZZA, que atende na região São Vicente - SP  e vende o produto Pizzas, Marmitas, Pastéis e Refeições Delivery, com modelo de negócio Negócio Local (loja física, restaurante, clínica etc.). Este mês Não Temos Sazonalidade.
Nosso público-alvo é: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Essa persona está em busca de: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O principal desafio enfrentado é: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As dores mais relevantes são: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Ela precisa de: Mais do que alimentação, esse cliente precisa de previsibilidade.
Ele deseja encontrar facilmente a empresa no Google, visualizar o cardápio atualizado, receber atendimento rápido pelo WhatsApp, ter informações claras sobre preços e opções disponíveis e concluir o pedido sem esforço.
Também existe uma necessidade crescente de relacionamento. O público valoriza sentir que é reconhecido, lembrado e respeitado durante o atendimento, aspecto discutido na aplicação da metodologia Jobs to Be Done durante a consultoria.
Deseja alcançar: O cliente deseja manter a confiança construída ao longo dos anos, mas espera perceber evolução na empresa.
Ele quer continuar comprando na Mina Pizza sabendo que encontrará uma operação mais moderna, organizada e eficiente, sem perder a tradição que o fez se tornar cliente.
Também busca praticidade para repetir pedidos, receber novidades, promoções e cardápios sem precisar procurar informações em diversos canais.
Essa combinação entre tradição e modernização foi definida como o posicionamento estratégico de "tradição redescoberta" nas reuniões de diagnóstico.
Sua linguagem é: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O problema central é: A Mina Pizza possui uma marca tradicional e reconhecida localmente, porém sua operação digital e parte da experiência de atendimento ainda não acompanham as expectativas atuais do consumidor.
Isso gera um cenário em que novos clientes encontram barreiras para conhecer a empresa, enquanto clientes antigos percebem inconsistências que podem comprometer sua fidelidade. O problema deixa de ser apenas operacional e passa a impactar diretamente o crescimento do negócio.
O diagnóstico também mostrou baixa maturidade digital, com deficiência na gestão do Google Meu Negócio, ausência de campanhas estruturadas, pouca constância nas redes sociais e dependência elevada de plataformas terceiras.
Contexto atual: Durante muitos anos, a Mina Pizza construiu sua clientela principalmente pela localização, tradição e indicação.
Esse modelo foi suficiente enquanto o comportamento de compra era predominantemente presencial ou telefônico. Entretanto, o mercado mudou.
Hoje, antes de escolher um restaurante, o consumidor pesquisa no Google, compara avaliações, consulta fotos, verifica horários, busca facilidade para pedir e espera respostas rápidas pelos canais digitais.
Nas reuniões foi constatado que existiam problemas como localização incorreta no Google, avaliações sem resposta, Instagram desatualizado, inconsistências de identidade da marca e limitações na apresentação do cardápio digital. Esses fatores reduzem a confiança de novos consumidores antes mesmo do primeiro pedido.
Ao mesmo tempo, concorrentes investem continuamente em Google Ads, Meta Ads, presença digital e conteúdos visuais, aumentando sua vantagem competitiva.
Como essa pessoa lida com isso hoje: 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
Frases reais que ela usa: A dor percebida pelo cliente não costuma ser verbalizada em termos técnicos. Ela aparece em comentários simples que refletem frustração durante a jornada de compra.
Expressões compatíveis com o cenário identificado nas reuniões incluem:
"Não consegui falar com ninguém."
"Demoraram para atender."
"Não achei o cardápio."
"Não sabia quanto custava."
"Achei que tinham fechado."
"No iFood foi mais fácil pedir."
"Quem me atendeu parecia sem paciência."
O teste de cliente oculto confirmou dificuldades como espera elevada, falta de informações sobre produtos, conversas paralelas durante o atendimento telefônico e tom de voz considerado ríspido, reforçando críticas já presentes nas avaliações online.
A causa real por trás desse problema é: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Frequência com que sente esse problema: Esse problema é constante.
Todos os dias novos consumidores pesquisam restaurantes antes de decidir onde comprar, enquanto clientes recorrentes avaliam cada interação para decidir se continuarão comprando da mesma empresa.
Cada ligação mal conduzida, avaliação sem resposta, dificuldade para encontrar informações ou atendimento demorado representa uma oportunidade perdida de venda ou fidelização.
Por isso, durante o planejamento, foi definida como prioridade a reorganização da presença digital, a implementação do WhatsApp Business, a padronização do atendimento e a gestão ativa das avaliações antes de ampliar os investimentos em mídia paga.
Alternativas que essa persona considera:
- Diretas: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 Indiretas: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 Substitutas: 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
Gatilhos que levam à compra: O cliente não acorda querendo comprar uma pizza ou uma marmita; ele busca resolver uma situação específica do seu dia.
Durante a semana, o gatilho mais comum é a falta de tempo. Depois de um dia de trabalho, ele quer uma refeição pronta, saborosa e confiável, sem precisar cozinhar ou perder tempo escolhendo entre dezenas de opções. No horário do almoço, procura uma comida que transmita a sensação de refeição caseira, com rapidez e bom custo-benefício.
Nos finais de semana, o gatilho muda. A pizza representa um momento de convivência: reunir a família, receber amigos ou simplesmente transformar uma noite comum em uma ocasião agradável. Nesses momentos, o cliente evita correr riscos escolhendo um restaurante desconhecido e tende a recorrer a marcas que já fazem parte da sua história.
Outro gatilho importante identificado nas reuniões é a busca por praticidade. Quando o consumidor encontra facilmente o restaurante no Google, acessa um cardápio organizado, faz o pedido rapidamente pelo WhatsApp e recebe um atendimento cordial, a decisão de compra se torna quase automática.
Nosso diferencial percebido é: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Benefícios de curto prazo esperados: Os benefícios percebidos imediatamente pelo cliente são práticos e facilmente mensuráveis.
Ele consegue encontrar a empresa com facilidade, visualizar informações atualizadas, acessar um cardápio organizado, realizar o pedido sem esforço e receber um atendimento mais rápido e cordial.
Essas melhorias reduzem o tempo entre a intenção de compra e a conclusão do pedido, diminuem a insegurança durante a escolha e aumentam a satisfação logo na primeira experiência.
Do ponto de vista emocional, o cliente sente tranquilidade ao perceber que está comprando de uma empresa organizada, acessível e preparada para atendê-lo.
Grande parte das ações propostas durante a consultoria — implementação do WhatsApp Business, padronização do atendimento, atualização do Google Meu Negócio e organização da presença digital — foi planejada justamente para gerar esse ganho imediato.
Benefícios de longo prazo esperados: A transformação mais importante acontece ao longo do relacionamento.
O cliente passa a enxergar a Mina Pizza não apenas como um restaurante tradicional, mas como a primeira opção quando pensa em refeições práticas e confiáveis na região.
Essa percepção fortalece a fidelização, aumenta a frequência de compra e estimula recomendações espontâneas para familiares e amigos, reduzindo a necessidade de depender exclusivamente de promoções ou mídia paga para gerar vendas.
Para a empresa, isso representa uma base de clientes mais sólida, maior previsibilidade de receita e crescimento sustentado por reputação, relacionamento e recorrência.
Esse objetivo está diretamente alinhado à estratégia definida nas reuniões: fortalecer canais próprios, aumentar a retenção da base atual e utilizar a tradição da marca como principal ativo competitivo, apoiado por uma operação digital mais eficiente.
A comunicação da marca deve ter um tom Próximo, acolhedor e tradicional, usando uma linguagem Simples e objetiva, com linguagem regional e foco em confiança e tradição, com o objetivo de fazer com que a persona sinta: Que encontrou um restaurante de confiança, com tradição, atendimento próximo e comida de qualidade para compartilhar com a família sem preocupação..
O vídeo será publicado na plataforma INSTAGRAM e os públicos que podem acabar recebendo esse conteúdo são: São pessoas que consomem conteúdo em intervalos curtos ao longo do dia, como durante o transporte, pausas no trabalho ou no banheiro. Preferem Reels de até 15 segundos, vídeos com legenda automática e ritmo acelerado. Não têm paciência para conteúdo lento ou complexo. Se algo chamar atenção nos primeiros segundos, elas param. O pensamento dominante é: “me mostra logo o que eu ganho com isso”. Normalmente clicam apenas se o botão ou mensagem for mais chamativo que o próprio conteúdo. Esse público é excelente para produtos de giro rápido, promoções diretas, reviews e humor cotidiano., Esse grupo é formado por pessoas mais racionais, que observam muito antes de agir. Costumam acessar o Instagram no início da manhã ou no final do dia, e valorizam conteúdos que ensinam algo útil. Carrosséis explicativos, análises, frameworks e bastidores são os formatos que mais atraem. Eles raramente curtem ou comentam, mas salvam e voltam depois. Clicam mais em DMs, botões discretos e CTAs bem posicionados. São ideais para negócios B2B, serviços técnicos, consultorias e produtos de alto valor com foco em argumento lógico., Esse público é movido por aspiração e identidade. Querem encontrar referências de quem já chegou onde eles querem estar. Consomem frases com fundo preto, rotinas editadas, lifestyle e narrativas de superação. Estão presentes principalmente na madrugada e nas manhãs. Eles pensam: “quero ser alguém, quem já chegou lá?”. Engajam através de marcações, comentários de identificação e salvamentos emocionais. Conectam muito bem com conteúdos que falam sobre propósito, mudança de vida, estética e liberdade. São ótimos para marcas com storytelling forte, produtos aspiracionais e influenciadores., Formado por pessoas que usam o Instagram como ferramenta de solução, esse público valoriza conteúdos que resolvem problemas reais. Consomem antes e depois, tutoriais curtos, dicas rápidas e explicações simples. Estão ativos ao longo do expediente e aos sábados. Pensam sempre: “isso resolve meu problema agora?”. Costumam clicar em stories com instruções claras, destaques de “como funciona” e enviar direct com dúvidas. São perfeitos para produtos de uso doméstico, alimentação, cuidados pessoais, serviços locais e soluções rápidas — inclusive papel higiênico., Aqui temos mães, pais e cuidadores que consomem Instagram como extensão da vida familiar. Acessam a plataforma de manhã, antes do caos começar, ou à noite, quando a casa está em silêncio. Preferem conteúdo que ajude na rotina, sem exigir esforço mental. Se conectam com memes sobre filhos, reviews de produtos, dicas financeiras e soluções práticas para o dia a dia. Detestam jargões, enrolação e vídeos confusos. Clicam em stories com explicação leve, CTAs contextuais e depoimentos reais. Perfeitos para nichos de lar, saúde, limpeza, alimentação e bem-estar familiar., Esse público vive atrás de ofertas, novidades e condições especiais. Estão atentos a cupons, lançamentos e conteúdos com gatilhos de escassez ou urgência. Acessam o Instagram ao longo do dia, com mais força nas quintas e sextas. Pensam: “se eu não aproveitar isso agora, vou me arrepender”. Clicam imediatamente em botões chamativos, muitas vezes sem nem ler a legenda toda. Ideais para ecommerce, campanhas de lançamento, datas sazonais, produtos promocionais e qualquer conteúdo que envolva vantagem imediata..
Sua estrutura deve conter:
- Um gancho forte nos primeiros 3 segundos
- Fechamento com CTA que gere autoridade, empatia e desejo
- Legenda para o post
- Hashtags para o post
- Orientação Visual do post
Ao receber a ideia, escolha a melhor estrutura entre estas:
1. Dor &gt; Solução &gt; CTA
2. Curiosidade &gt; Descoberta &gt; Valor
3. Autoridade &gt; Prova &gt; Direcionamento
4. Atenção &gt; Interesse &gt; Desejo &gt; Ação
5. Causa &gt; Consequência &gt; Caminho
6. Sintoma &gt; Diagnóstico &gt; Tratamento
7. Situação &gt; Conflito &gt; Transformação
8. Problema Invisível &gt; Revelação &gt; Novo Caminho
Quando finalizar de ler todo o material acima diga:
Entendi perfeitamente sobre quem devo criar o material, agora me diga qual a ideia.</v>
      </c>
    </row>
    <row r="4" ht="21.75" customHeight="1">
      <c r="A4" s="8" t="s">
        <v>744</v>
      </c>
      <c r="B4" s="40" t="str">
        <f>IFERROR(__xludf.DUMMYFUNCTION("""Você tem a tarefa de criar um conteúdo estático de alto impacto.
O cliente é "" &amp; POSICIONAMENTO!B3 &amp; "", que atende na região "" &amp; POSICIONAMENTO!C3 &amp; "" e vende o produto "" &amp; POSICIONAMENTO!F3 &amp; "", com modelo de negócio "" &amp; POSICIONAMENTO!D3 &amp; ""."&amp;" Este mês "" &amp; POSICIONAMENTO!G3 &amp; "".
Nosso público-alvo é: "" &amp; 'USE CASE MAP'!B3 &amp; ""
Essa persona está em busca de: "" &amp; 'USE CASE MAP'!C3 &amp; ""
O principal desafio enfrentado é: "" &amp; 'USE CASE MAP'!D3 &amp; ""
As dores mais relevantes são: "" &amp; 'USE C"&amp;"ASE MAP'!E3 &amp; ""
Ela precisa de: "" &amp; 'USE CASE MAP'!F3 &amp; ""
Deseja alcançar: "" &amp; 'USE CASE MAP'!G3 &amp; ""
Sua linguagem é: "" &amp; 'USE CASE MAP'!H3 &amp; ""
O problema central é: "" &amp; 'USE CASE MAP'!B7 &amp; ""
Contexto atual: "" &amp; 'USE CASE MAP'!C7 &amp; ""
Como"&amp;" essa pessoa lida com isso hoje: "" &amp; 'USE CASE MAP'!D7 &amp; ""
Frases reais que ela usa: "" &amp; 'USE CASE MAP'!E7 &amp; ""
A causa real por trás desse problema é: "" &amp; 'USE CASE MAP'!F7 &amp; ""
Frequência com que sente esse problema: "" &amp; 'USE CASE MAP'!G7 &amp; ""
"&amp;"Alternativas que essa persona considera:
- Diretas: "" &amp; 'USE CASE MAP'!B11 &amp; ""
- Indiretas: "" &amp; 'USE CASE MAP'!C11 &amp; ""
- Substitutas: "" &amp; 'USE CASE MAP'!D11 &amp; ""
Gatilhos que levam à compra: "" &amp; 'USE CASE MAP'!E11 &amp; ""
Nosso diferencial percebido "&amp;"é: "" &amp; 'USE CASE MAP'!F11 &amp; ""
Benefícios de curto prazo esperados: "" &amp; 'USE CASE MAP'!G11 &amp; ""
Benefícios de longo prazo esperados: "" &amp; 'USE CASE MAP'!H11 &amp; ""
A comunicação da marca deve ter um tom "" &amp; POSICIONAMENTO!B7 &amp; "", usando uma linguagem"&amp;" "" &amp; POSICIONAMENTO!C7 &amp; "", com o objetivo de fazer com que a persona sinta: "" &amp; POSICIONAMENTO!D7 &amp; "".
O post será publicado na plataforma "" &amp; CANAIS!A1 &amp; "" e os públicos que podem acabar recebendo esse conteúdo são: "" &amp; TEXTJOIN("", "", TRUE, FI"&amp;"LTER(CANAIS!B5:H5, CANAIS!B4:H4=""SIM"")) &amp; "".
Sua estrutura deve conter:
- Material feito para apenas um post estático ( Apenas 1 Lâmina, não é um carrossel )
- Título com impacto e conexão emocional ou racional
- Bloco de texto claro e direto com mens"&amp;"agem principal
- Fechamento com CTA simples e objetivo
- Legenda para o post
- Hashtags para o post
- Orientação Visual do post
Ao receber a ideia, escolha a melhor estrutura entre estas:
1. Problema &gt; Reflexão &gt; Solução
2. Dúvida &gt; Confirmação &gt; Oferta
"&amp;"3. Frase de Impacto &gt; Explicação &gt; CTA
4. Alerta &gt; Comparação &gt; Caminho Certo
5. Antes &gt; Depois &gt; Causa
6. Situação comum &gt; Novo olhar &gt; Caminho possível
7. Dor latente &gt; Benefício direto &gt; Proposta de valor
8. Crença limitante &gt; Ruptura &gt; Novo cenário
Q"&amp;"uando finalizar de ler todo o material acima diga:
Entendi perfeitamente sobre quem devo criar o material, agora me diga qual a ideia."""),"Você tem a tarefa de criar um conteúdo estático de alto impacto.
O cliente é MINA PIZZA, que atende na região São Vicente - SP  e vende o produto Pizzas, Marmitas, Pastéis e Refeições Delivery, com modelo de negócio Negócio Local (loja física, restaurant"&amp;"e, clínica etc.). Este mês Não Temos Sazonalidade.
Nosso público-alvo é: O público principal da Mina Pizza não procura apenas uma pizzaria. Ele procura um estabelecimento que já faz parte da rotina da família e transmite confiança. São moradores de São V"&amp;"icente e cidades próximas que trabalham durante o dia, possuem pouco tempo para cozinhar e valorizam estabelecimentos tradicionais que entreguem qualidade consistente sem complicação.
Grande parte desse público conheceu a empresa por indicação, pela loca"&amp;"lização ou por muitos anos de operação. Não é um consumidor que busca tendências gastronômicas ou restaurantes ""instagramáveis"". Seu comportamento é orientado por previsibilidade: ele prefere comprar onde já sabe que será bem atendido e receberá um prod"&amp;"uto que conhece.
Além da pizza, existe uma oportunidade importante de expansão por meio das marmitas e refeições do dia, aproveitando um hábito de consumo recorrente durante a semana, estratégia já identificada nas reuniões de planejamento.
Essa persona"&amp;" está em busca de: O principal objetivo desse cliente é resolver uma necessidade cotidiana de alimentação com rapidez, praticidade e segurança. Ele deseja evitar o desgaste de cozinhar, ganhar tempo após um dia de trabalho e alimentar a família sem correr"&amp;" riscos ao experimentar locais desconhecidos.
Quando pede uma pizza, busca um momento de lazer e convivência familiar. Quando compra uma marmita, procura uma solução prática para o almoço sem perder a sensação de comida caseira.
Existe também uma motiva"&amp;"ção emocional importante: consumir em um local tradicional reforça a sensação de pertencimento e continuidade de uma rotina construída ao longo dos anos.
O principal desafio enfrentado é: Embora seja um cliente fiel, sua permanência não é garantida. O au"&amp;"mento das opções de delivery e a facilidade de comparação entre restaurantes tornam a experiência de atendimento um fator decisivo.
Nas reuniões foram identificados desafios operacionais que impactam diretamente essa percepção, como dificuldades no atend"&amp;"imento telefônico, demora na resposta, falta de padronização e limitações nos canais digitais.
Outro desafio é que esse público não deseja aprender processos novos para fazer um pedido. Quanto mais simples for a jornada — especialmente via WhatsApp — mai"&amp;"or tende a ser a conversão. Essa necessidade de simplificação também foi destacada durante o diagnóstico.
As dores mais relevantes são: A principal dor não está relacionada apenas ao produto, mas à experiência completa.
Quando decide pedir comida, o cli"&amp;"ente espera rapidez, clareza e cordialidade. Qualquer atrito durante esse processo reduz sua confiança na marca.
As reuniões identificaram reclamações recorrentes envolvendo atendimento telefônico ríspido, demora, falta de informações sobre produtos e di"&amp;"ficuldades durante o pedido, pontos confirmados tanto pelas avaliações públicas quanto pelo teste de cliente oculto.
Algumas expressões que representam esse sentimento são:
""Toda vez preciso ligar mais de uma vez.""
""Nunca sei quais pratos têm hoje."""&amp;"
""Quem atende parece estar com pressa.""
""Achei que a qualidade caiu.""
""Está ficando caro pelo que entrega.""
""Prefiro pedir onde respondem mais rápido.""
Ela precisa de: Mais do que alimentação, esse cliente precisa de previsibilidade.
Ele deseja "&amp;"encontrar facilmente a empresa no Google, visualizar o cardápio atualizado, receber atendimento rápido pelo WhatsApp, ter informações claras sobre preços e opções disponíveis e concluir o pedido sem esforço.
Também existe uma necessidade crescente de rel"&amp;"acionamento. O público valoriza sentir que é reconhecido, lembrado e respeitado durante o atendimento, aspecto discutido na aplicação da metodologia Jobs to Be Done durante a consultoria.
Deseja alcançar: O cliente deseja manter a confiança construída ao"&amp;" longo dos anos, mas espera perceber evolução na empresa.
Ele quer continuar comprando na Mina Pizza sabendo que encontrará uma operação mais moderna, organizada e eficiente, sem perder a tradição que o fez se tornar cliente.
Também busca praticidade pa"&amp;"ra repetir pedidos, receber novidades, promoções e cardápios sem precisar procurar informações em diversos canais.
Essa combinação entre tradição e modernização foi definida como o posicionamento estratégico de ""tradição redescoberta"" nas reuniões de d"&amp;"iagnóstico.
Sua linguagem é: A comunicação ideal para esse público deve ser simples, objetiva e acolhedora.
O diagnóstico concluiu que o cliente da Mina Pizza responde melhor a uma linguagem direta, evitando excesso de memes, tendências ou conteúdos exc"&amp;"essivamente informais. A recomendação foi priorizar clareza, tradição e proximidade no tom de voz da marca.
Esse público costuma utilizar expressões como:
""Vou pedir a pizza de sempre.""
""Tem marmita hoje?""
""Manda o cardápio no WhatsApp.""
""Quanto "&amp;"tempo demora?""
""Vocês entregam aqui?""
""Quero uma comida boa sem complicação.""
Essa forma de comunicação demonstra que o cliente valoriza objetividade e conveniência, e espera que a empresa acompanhe esse mesmo padrão em todos os pontos de contato.
"&amp;"O problema central é: A Mina Pizza possui uma marca tradicional e reconhecida localmente, porém sua operação digital e parte da experiência de atendimento ainda não acompanham as expectativas atuais do consumidor.
Isso gera um cenário em que novos client"&amp;"es encontram barreiras para conhecer a empresa, enquanto clientes antigos percebem inconsistências que podem comprometer sua fidelidade. O problema deixa de ser apenas operacional e passa a impactar diretamente o crescimento do negócio.
O diagnóstico tam"&amp;"bém mostrou baixa maturidade digital, com deficiência na gestão do Google Meu Negócio, ausência de campanhas estruturadas, pouca constância nas redes sociais e dependência elevada de plataformas terceiras.
Contexto atual: Durante muitos anos, a Mina Pizz"&amp;"a construiu sua clientela principalmente pela localização, tradição e indicação.
Esse modelo foi suficiente enquanto o comportamento de compra era predominantemente presencial ou telefônico. Entretanto, o mercado mudou.
Hoje, antes de escolher um restau"&amp;"rante, o consumidor pesquisa no Google, compara avaliações, consulta fotos, verifica horários, busca facilidade para pedir e espera respostas rápidas pelos canais digitais.
Nas reuniões foi constatado que existiam problemas como localização incorreta no "&amp;"Google, avaliações sem resposta, Instagram desatualizado, inconsistências de identidade da marca e limitações na apresentação do cardápio digital. Esses fatores reduzem a confiança de novos consumidores antes mesmo do primeiro pedido.
Ao mesmo tempo, con"&amp;"correntes investem continuamente em Google Ads, Meta Ads, presença digital e conteúdos visuais, aumentando sua vantagem competitiva.
Como essa pessoa lida com isso hoje: Na ausência de uma experiência digital consistente, o cliente busca alternativas par"&amp;"a reduzir o esforço da compra.
Ele costuma ligar diretamente para o restaurante, procurar informações nas avaliações do Google, acessar o iFood para verificar cardápio e preços ou simplesmente escolher um concorrente cuja jornada seja mais rápida e intui"&amp;"tiva.
Clientes antigos frequentemente continuam comprando pela confiança construída ao longo dos anos, mas clientes novos tendem a desistir diante de pequenas dificuldades.
O diagnóstico também identificou que muitos consumidores acabam permanecendo no "&amp;"iFood pela praticidade, mesmo quando a empresa deseja migrá-los para canais próprios, como o WhatsApp Business, reduzindo a dependência da plataforma.
Frases reais que ela usa: A dor percebida pelo cliente não costuma ser verbalizada em termos técnicos. "&amp;"Ela aparece em comentários simples que refletem frustração durante a jornada de compra.
Expressões compatíveis com o cenário identificado nas reuniões incluem:
""Não consegui falar com ninguém.""
""Demoraram para atender.""
""Não achei o cardápio.""
""N"&amp;"ão sabia quanto custava.""
""Achei que tinham fechado.""
""No iFood foi mais fácil pedir.""
""Quem me atendeu parecia sem paciência.""
O teste de cliente oculto confirmou dificuldades como espera elevada, falta de informações sobre produtos, conversas pa"&amp;"ralelas durante o atendimento telefônico e tom de voz considerado ríspido, reforçando críticas já presentes nas avaliações online.
A causa real por trás desse problema é: A causa do problema não está na qualidade da marca ou na ausência de mercado.
Ela "&amp;"resulta da combinação de fatores operacionais e digitais que se acumularam ao longo do tempo.
Entre os principais fatores identificados durante a consultoria estão:
baixa maturidade digital;
ausência de rotina para gestão de reputação online;
inconsistê"&amp;"ncia entre os canais digitais;
atendimento telefônico sem protocolo padronizado;
dependência excessiva do iFood;
adoção tardia de ferramentas como WhatsApp Business;
dificuldade em apresentar corretamente o portfólio de produtos, especialmente marmitas.
"&amp;"Em outras palavras, o negócio possui valor percebido pela tradição, mas ainda não transformou esse patrimônio em uma operação preparada para competir no ambiente digital.
Frequência com que sente esse problema: Esse problema é constante.
Todos os dias n"&amp;"ovos consumidores pesquisam restaurantes antes de decidir onde comprar, enquanto clientes recorrentes avaliam cada interação para decidir se continuarão comprando da mesma empresa.
Cada ligação mal conduzida, avaliação sem resposta, dificuldade para enco"&amp;"ntrar informações ou atendimento demorado representa uma oportunidade perdida de venda ou fidelização.
Por isso, durante o planejamento, foi definida como prioridade a reorganização da presença digital, a implementação do WhatsApp Business, a padronizaçã"&amp;"o do atendimento e a gestão ativa das avaliações antes de ampliar os investimentos em mídia paga.
Alternativas que essa persona considera:
- Diretas: As alternativas diretas são empresas que disputam exatamente o mesmo espaço mental do consumidor: quand"&amp;"o ele decide pedir uma pizza, uma marmita ou uma refeição pronta na região de São Vicente.
O principal concorrente identificado durante a consultoria foi o Império da Pizza, que possui forte presença no Google, Instagram e iFood, além de operar mais de u"&amp;"ma unidade física. Seu diferencial está na consistência da presença digital e na facilidade de ser encontrado quando o consumidor pesquisa por pizzarias na região.
Outro concorrente relevante é o Café com Pizza, que apresenta alto volume de avaliações e "&amp;"boa exposição no iFood. Apesar de possuir um posicionamento mais genérico, sua presença constante nas plataformas digitais faz com que participe diretamente da decisão de compra do consumidor.
A Big Família foi considerada a principal referência aspiraci"&amp;"onal para a Mina Pizza. O modelo de negócio, que combina almoço, marmitas e pizzas, é bastante semelhante ao objetivo estratégico definido para a empresa. Além disso, sua comunicação, identidade visual e presença digital demonstram um nível de maturidade "&amp;"superior, tornando-a um benchmark para futuras ações.
Esses concorrentes competem diretamente pelos mesmos clientes, horários de consumo, localização geográfica e intenção de compra.
- Indiretas: As alternativas indiretas atendem à mesma necessidade prin"&amp;"cipal — alimentar-se com praticidade — porém utilizando propostas diferentes.
Entre elas estão restaurantes especializados em marmitas, self-service, comida caseira, lanchonetes, hamburguerias, pastelarias e outros estabelecimentos que oferecem refeições"&amp;" prontas para almoço ou jantar.
O próprio diagnóstico apontou que a expansão das marmitas representa uma oportunidade justamente porque o consumidor não procura apenas ""pizza""; durante a semana ele busca resolver rapidamente o almoço. Essa mudança de c"&amp;"omportamento foi considerada uma das principais oportunidades de crescimento da Mina Pizza.
Também entram nessa categoria os estabelecimentos fortemente posicionados dentro do iFood, que aparecem antes da Mina Pizza graças ao investimento em mídia, avali"&amp;"ações e otimização da plataforma.
- Substitutas: As alternativas substitutas mudam completamente a lógica de consumo.
O cliente pode decidir cozinhar em casa, comprar refeições prontas em supermercados, consumir alimentos congelados ou recorrer a conveni"&amp;"ências e padarias próximas.
Outra alternativa substituta é simplesmente optar por uma refeição mais simples para evitar custos ou esforço de decisão.
Na prática, quando a jornada de compra da Mina Pizza apresenta atritos — dificuldade para localizar o r"&amp;"estaurante, atendimento lento, ausência de informações claras ou canais pouco intuitivos — o consumidor tende a abandonar a intenção inicial e escolher a solução que exigir menos esforço.
Foi exatamente por esse motivo que, durante a consultoria, foi ref"&amp;"orçado o princípio de experiência do usuário de ""não me faça pensar"", simplificando a jornada por meio de canais como WhatsApp Business, cardápios organizados e informações facilmente acessíveis.
Gatilhos que levam à compra: O cliente não acorda queren"&amp;"do comprar uma pizza ou uma marmita; ele busca resolver uma situação específica do seu dia.
Durante a semana, o gatilho mais comum é a falta de tempo. Depois de um dia de trabalho, ele quer uma refeição pronta, saborosa e confiável, sem precisar cozinhar"&amp;" ou perder tempo escolhendo entre dezenas de opções. No horário do almoço, procura uma comida que transmita a sensação de refeição caseira, com rapidez e bom custo-benefício.
Nos finais de semana, o gatilho muda. A pizza representa um momento de convivên"&amp;"cia: reunir a família, receber amigos ou simplesmente transformar uma noite comum em uma ocasião agradável. Nesses momentos, o cliente evita correr riscos escolhendo um restaurante desconhecido e tende a recorrer a marcas que já fazem parte da sua históri"&amp;"a.
Outro gatilho importante identificado nas reuniões é a busca por praticidade. Quando o consumidor encontra facilmente o restaurante no Google, acessa um cardápio organizado, faz o pedido rapidamente pelo WhatsApp e recebe um atendimento cordial, a dec"&amp;"isão de compra se torna quase automática.
Nosso diferencial percebido é: O maior diferencial competitivo da Mina Pizza não é apenas vender pizzas, marmitas ou pastéis. É possuir uma história autêntica construída ao longo de décadas, combinada com um proj"&amp;"eto de modernização que preserva essa identidade.
Enquanto muitos concorrentes precisam criar narrativas para transmitir tradição, a Mina Pizza possui um legado real que pode ser utilizado como elemento de diferenciação. Esse posicionamento foi reconheci"&amp;"do nas reuniões como uma vantagem estratégica relevante.
Além da tradição, outros diferenciais fortalecem essa proposta:
diversidade de produtos para diferentes momentos de consumo (pizza, marmitas e pastéis);
reconhecimento local consolidado;
relaciona"&amp;"mento próximo com clientes recorrentes;
potencial para oferecer uma experiência simples e eficiente por canais próprios, reduzindo a dependência de plataformas.
Quando esses elementos são combinados com atendimento padronizado, boa gestão da reputação on"&amp;"line e presença digital consistente, a empresa deixa de competir apenas por preço e passa a competir por confiança
Benefícios de curto prazo esperados: Os benefícios percebidos imediatamente pelo cliente são práticos e facilmente mensuráveis.
Ele conseg"&amp;"ue encontrar a empresa com facilidade, visualizar informações atualizadas, acessar um cardápio organizado, realizar o pedido sem esforço e receber um atendimento mais rápido e cordial.
Essas melhorias reduzem o tempo entre a intenção de compra e a conclu"&amp;"são do pedido, diminuem a insegurança durante a escolha e aumentam a satisfação logo na primeira experiência.
Do ponto de vista emocional, o cliente sente tranquilidade ao perceber que está comprando de uma empresa organizada, acessível e preparada para "&amp;"atendê-lo.
Grande parte das ações propostas durante a consultoria — implementação do WhatsApp Business, padronização do atendimento, atualização do Google Meu Negócio e organização da presença digital — foi planejada justamente para gerar esse ganho imed"&amp;"iato.
Benefícios de longo prazo esperados: A transformação mais importante acontece ao longo do relacionamento.
O cliente passa a enxergar a Mina Pizza não apenas como um restaurante tradicional, mas como a primeira opção quando pensa em refeições práti"&amp;"cas e confiáveis na região.
Essa percepção fortalece a fidelização, aumenta a frequência de compra e estimula recomendações espontâneas para familiares e amigos, reduzindo a necessidade de depender exclusivamente de promoções ou mídia paga para gerar ven"&amp;"das.
Para a empresa, isso representa uma base de clientes mais sólida, maior previsibilidade de receita e crescimento sustentado por reputação, relacionamento e recorrência.
Esse objetivo está diretamente alinhado à estratégia definida nas reuniões: for"&amp;"talecer canais próprios, aumentar a retenção da base atual e utilizar a tradição da marca como principal ativo competitivo, apoiado por uma operação digital mais eficiente.
A comunicação da marca deve ter um tom Próximo, acolhedor e tradicional, usando u"&amp;"ma linguagem Simples e objetiva, com linguagem regional e foco em confiança e tradição, com o objetivo de fazer com que a persona sinta: Que encontrou um restaurante de confiança, com tradição, atendimento próximo e comida de qualidade para compartilhar c"&amp;"om a família sem preocupação..
O post será publicado na plataforma INSTAGRAM e os públicos que podem acabar recebendo esse conteúdo são: São pessoas que consomem conteúdo em intervalos curtos ao longo do dia, como durante o transporte, pausas no trabalho"&amp;" ou no banheiro. Preferem Reels de até 15 segundos, vídeos com legenda automática e ritmo acelerado. Não têm paciência para conteúdo lento ou complexo. Se algo chamar atenção nos primeiros segundos, elas param. O pensamento dominante é: “me mostra logo o "&amp;"que eu ganho com isso”. Normalmente clicam apenas se o botão ou mensagem for mais chamativo que o próprio conteúdo. Esse público é excelente para produtos de giro rápido, promoções diretas, reviews e humor cotidiano., Esse grupo é formado por pessoas mais"&amp;" racionais, que observam muito antes de agir. Costumam acessar o Instagram no início da manhã ou no final do dia, e valorizam conteúdos que ensinam algo útil. Carrosséis explicativos, análises, frameworks e bastidores são os formatos que mais atraem. Eles"&amp;" raramente curtem ou comentam, mas salvam e voltam depois. Clicam mais em DMs, botões discretos e CTAs bem posicionados. São ideais para negócios B2B, serviços técnicos, consultorias e produtos de alto valor com foco em argumento lógico., Esse público é m"&amp;"ovido por aspiração e identidade. Querem encontrar referências de quem já chegou onde eles querem estar. Consomem frases com fundo preto, rotinas editadas, lifestyle e narrativas de superação. Estão presentes principalmente na madrugada e nas manhãs. Eles"&amp;" pensam: “quero ser alguém, quem já chegou lá?”. Engajam através de marcações, comentários de identificação e salvamentos emocionais. Conectam muito bem com conteúdos que falam sobre propósito, mudança de vida, estética e liberdade. São ótimos para marcas"&amp;" com storytelling forte, produtos aspiracionais e influenciadores., Formado por pessoas que usam o Instagram como ferramenta de solução, esse público valoriza conteúdos que resolvem problemas reais. Consomem antes e depois, tutoriais curtos, dicas rápidas"&amp;" e explicações simples. Estão ativos ao longo do expediente e aos sábados. Pensam sempre: “isso resolve meu problema agora?”. Costumam clicar em stories com instruções claras, destaques de “como funciona” e enviar direct com dúvidas. São perfeitos para pr"&amp;"odutos de uso doméstico, alimentação, cuidados pessoais, serviços locais e soluções rápidas — inclusive papel higiênico., Aqui temos mães, pais e cuidadores que consomem Instagram como extensão da vida familiar. Acessam a plataforma de manhã, antes do cao"&amp;"s começar, ou à noite, quando a casa está em silêncio. Preferem conteúdo que ajude na rotina, sem exigir esforço mental. Se conectam com memes sobre filhos, reviews de produtos, dicas financeiras e soluções práticas para o dia a dia. Detestam jargões, enr"&amp;"olação e vídeos confusos. Clicam em stories com explicação leve, CTAs contextuais e depoimentos reais. Perfeitos para nichos de lar, saúde, limpeza, alimentação e bem-estar familiar., Esse público vive atrás de ofertas, novidades e condições especiais. Es"&amp;"tão atentos a cupons, lançamentos e conteúdos com gatilhos de escassez ou urgência. Acessam o Instagram ao longo do dia, com mais força nas quintas e sextas. Pensam: “se eu não aproveitar isso agora, vou me arrepender”. Clicam imediatamente em botões cham"&amp;"ativos, muitas vezes sem nem ler a legenda toda. Ideais para ecommerce, campanhas de lançamento, datas sazonais, produtos promocionais e qualquer conteúdo que envolva vantagem imediata..
Sua estrutura deve conter:
- Material feito para apenas um post est"&amp;"ático ( Apenas 1 Lâmina, não é um carrossel )
- Título com impacto e conexão emocional ou racional
- Bloco de texto claro e direto com mensagem principal
- Fechamento com CTA simples e objetivo
- Legenda para o post
- Hashtags para o post
- Orientação Vis"&amp;"ual do post
Ao receber a ideia, escolha a melhor estrutura entre estas:
1. Problema &gt; Reflexão &gt; Solução
2. Dúvida &gt; Confirmação &gt; Oferta
3. Frase de Impacto &gt; Explicação &gt; CTA
4. Alerta &gt; Comparação &gt; Caminho Certo
5. Antes &gt; Depois &gt; Causa
6. Situação "&amp;"comum &gt; Novo olhar &gt; Caminho possível
7. Dor latente &gt; Benefício direto &gt; Proposta de valor
8. Crença limitante &gt; Ruptura &gt; Novo cenário
Quando finalizar de ler todo o material acima diga:
Entendi perfeitamente sobre quem devo criar o material, agora me "&amp;"diga qual a ideia.")</f>
        <v>Você tem a tarefa de criar um conteúdo estático de alto impacto.
O cliente é MINA PIZZA, que atende na região São Vicente - SP  e vende o produto Pizzas, Marmitas, Pastéis e Refeições Delivery, com modelo de negócio Negócio Local (loja física, restaurante, clínica etc.). Este mês Não Temos Sazonalidade.
Nosso público-alvo é: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Essa persona está em busca de: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O principal desafio enfrentado é: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As dores mais relevantes são: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Ela precisa de: Mais do que alimentação, esse cliente precisa de previsibilidade.
Ele deseja encontrar facilmente a empresa no Google, visualizar o cardápio atualizado, receber atendimento rápido pelo WhatsApp, ter informações claras sobre preços e opções disponíveis e concluir o pedido sem esforço.
Também existe uma necessidade crescente de relacionamento. O público valoriza sentir que é reconhecido, lembrado e respeitado durante o atendimento, aspecto discutido na aplicação da metodologia Jobs to Be Done durante a consultoria.
Deseja alcançar: O cliente deseja manter a confiança construída ao longo dos anos, mas espera perceber evolução na empresa.
Ele quer continuar comprando na Mina Pizza sabendo que encontrará uma operação mais moderna, organizada e eficiente, sem perder a tradição que o fez se tornar cliente.
Também busca praticidade para repetir pedidos, receber novidades, promoções e cardápios sem precisar procurar informações em diversos canais.
Essa combinação entre tradição e modernização foi definida como o posicionamento estratégico de "tradição redescoberta" nas reuniões de diagnóstico.
Sua linguagem é: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O problema central é: A Mina Pizza possui uma marca tradicional e reconhecida localmente, porém sua operação digital e parte da experiência de atendimento ainda não acompanham as expectativas atuais do consumidor.
Isso gera um cenário em que novos clientes encontram barreiras para conhecer a empresa, enquanto clientes antigos percebem inconsistências que podem comprometer sua fidelidade. O problema deixa de ser apenas operacional e passa a impactar diretamente o crescimento do negócio.
O diagnóstico também mostrou baixa maturidade digital, com deficiência na gestão do Google Meu Negócio, ausência de campanhas estruturadas, pouca constância nas redes sociais e dependência elevada de plataformas terceiras.
Contexto atual: Durante muitos anos, a Mina Pizza construiu sua clientela principalmente pela localização, tradição e indicação.
Esse modelo foi suficiente enquanto o comportamento de compra era predominantemente presencial ou telefônico. Entretanto, o mercado mudou.
Hoje, antes de escolher um restaurante, o consumidor pesquisa no Google, compara avaliações, consulta fotos, verifica horários, busca facilidade para pedir e espera respostas rápidas pelos canais digitais.
Nas reuniões foi constatado que existiam problemas como localização incorreta no Google, avaliações sem resposta, Instagram desatualizado, inconsistências de identidade da marca e limitações na apresentação do cardápio digital. Esses fatores reduzem a confiança de novos consumidores antes mesmo do primeiro pedido.
Ao mesmo tempo, concorrentes investem continuamente em Google Ads, Meta Ads, presença digital e conteúdos visuais, aumentando sua vantagem competitiva.
Como essa pessoa lida com isso hoje: 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
Frases reais que ela usa: A dor percebida pelo cliente não costuma ser verbalizada em termos técnicos. Ela aparece em comentários simples que refletem frustração durante a jornada de compra.
Expressões compatíveis com o cenário identificado nas reuniões incluem:
"Não consegui falar com ninguém."
"Demoraram para atender."
"Não achei o cardápio."
"Não sabia quanto custava."
"Achei que tinham fechado."
"No iFood foi mais fácil pedir."
"Quem me atendeu parecia sem paciência."
O teste de cliente oculto confirmou dificuldades como espera elevada, falta de informações sobre produtos, conversas paralelas durante o atendimento telefônico e tom de voz considerado ríspido, reforçando críticas já presentes nas avaliações online.
A causa real por trás desse problema é: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Frequência com que sente esse problema: Esse problema é constante.
Todos os dias novos consumidores pesquisam restaurantes antes de decidir onde comprar, enquanto clientes recorrentes avaliam cada interação para decidir se continuarão comprando da mesma empresa.
Cada ligação mal conduzida, avaliação sem resposta, dificuldade para encontrar informações ou atendimento demorado representa uma oportunidade perdida de venda ou fidelização.
Por isso, durante o planejamento, foi definida como prioridade a reorganização da presença digital, a implementação do WhatsApp Business, a padronização do atendimento e a gestão ativa das avaliações antes de ampliar os investimentos em mídia paga.
Alternativas que essa persona considera:
- Diretas: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 Indiretas: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 Substitutas: 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
Gatilhos que levam à compra: O cliente não acorda querendo comprar uma pizza ou uma marmita; ele busca resolver uma situação específica do seu dia.
Durante a semana, o gatilho mais comum é a falta de tempo. Depois de um dia de trabalho, ele quer uma refeição pronta, saborosa e confiável, sem precisar cozinhar ou perder tempo escolhendo entre dezenas de opções. No horário do almoço, procura uma comida que transmita a sensação de refeição caseira, com rapidez e bom custo-benefício.
Nos finais de semana, o gatilho muda. A pizza representa um momento de convivência: reunir a família, receber amigos ou simplesmente transformar uma noite comum em uma ocasião agradável. Nesses momentos, o cliente evita correr riscos escolhendo um restaurante desconhecido e tende a recorrer a marcas que já fazem parte da sua história.
Outro gatilho importante identificado nas reuniões é a busca por praticidade. Quando o consumidor encontra facilmente o restaurante no Google, acessa um cardápio organizado, faz o pedido rapidamente pelo WhatsApp e recebe um atendimento cordial, a decisão de compra se torna quase automática.
Nosso diferencial percebido é: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Benefícios de curto prazo esperados: Os benefícios percebidos imediatamente pelo cliente são práticos e facilmente mensuráveis.
Ele consegue encontrar a empresa com facilidade, visualizar informações atualizadas, acessar um cardápio organizado, realizar o pedido sem esforço e receber um atendimento mais rápido e cordial.
Essas melhorias reduzem o tempo entre a intenção de compra e a conclusão do pedido, diminuem a insegurança durante a escolha e aumentam a satisfação logo na primeira experiência.
Do ponto de vista emocional, o cliente sente tranquilidade ao perceber que está comprando de uma empresa organizada, acessível e preparada para atendê-lo.
Grande parte das ações propostas durante a consultoria — implementação do WhatsApp Business, padronização do atendimento, atualização do Google Meu Negócio e organização da presença digital — foi planejada justamente para gerar esse ganho imediato.
Benefícios de longo prazo esperados: A transformação mais importante acontece ao longo do relacionamento.
O cliente passa a enxergar a Mina Pizza não apenas como um restaurante tradicional, mas como a primeira opção quando pensa em refeições práticas e confiáveis na região.
Essa percepção fortalece a fidelização, aumenta a frequência de compra e estimula recomendações espontâneas para familiares e amigos, reduzindo a necessidade de depender exclusivamente de promoções ou mídia paga para gerar vendas.
Para a empresa, isso representa uma base de clientes mais sólida, maior previsibilidade de receita e crescimento sustentado por reputação, relacionamento e recorrência.
Esse objetivo está diretamente alinhado à estratégia definida nas reuniões: fortalecer canais próprios, aumentar a retenção da base atual e utilizar a tradição da marca como principal ativo competitivo, apoiado por uma operação digital mais eficiente.
A comunicação da marca deve ter um tom Próximo, acolhedor e tradicional, usando uma linguagem Simples e objetiva, com linguagem regional e foco em confiança e tradição, com o objetivo de fazer com que a persona sinta: Que encontrou um restaurante de confiança, com tradição, atendimento próximo e comida de qualidade para compartilhar com a família sem preocupação..
O post será publicado na plataforma INSTAGRAM e os públicos que podem acabar recebendo esse conteúdo são: São pessoas que consomem conteúdo em intervalos curtos ao longo do dia, como durante o transporte, pausas no trabalho ou no banheiro. Preferem Reels de até 15 segundos, vídeos com legenda automática e ritmo acelerado. Não têm paciência para conteúdo lento ou complexo. Se algo chamar atenção nos primeiros segundos, elas param. O pensamento dominante é: “me mostra logo o que eu ganho com isso”. Normalmente clicam apenas se o botão ou mensagem for mais chamativo que o próprio conteúdo. Esse público é excelente para produtos de giro rápido, promoções diretas, reviews e humor cotidiano., Esse grupo é formado por pessoas mais racionais, que observam muito antes de agir. Costumam acessar o Instagram no início da manhã ou no final do dia, e valorizam conteúdos que ensinam algo útil. Carrosséis explicativos, análises, frameworks e bastidores são os formatos que mais atraem. Eles raramente curtem ou comentam, mas salvam e voltam depois. Clicam mais em DMs, botões discretos e CTAs bem posicionados. São ideais para negócios B2B, serviços técnicos, consultorias e produtos de alto valor com foco em argumento lógico., Esse público é movido por aspiração e identidade. Querem encontrar referências de quem já chegou onde eles querem estar. Consomem frases com fundo preto, rotinas editadas, lifestyle e narrativas de superação. Estão presentes principalmente na madrugada e nas manhãs. Eles pensam: “quero ser alguém, quem já chegou lá?”. Engajam através de marcações, comentários de identificação e salvamentos emocionais. Conectam muito bem com conteúdos que falam sobre propósito, mudança de vida, estética e liberdade. São ótimos para marcas com storytelling forte, produtos aspiracionais e influenciadores., Formado por pessoas que usam o Instagram como ferramenta de solução, esse público valoriza conteúdos que resolvem problemas reais. Consomem antes e depois, tutoriais curtos, dicas rápidas e explicações simples. Estão ativos ao longo do expediente e aos sábados. Pensam sempre: “isso resolve meu problema agora?”. Costumam clicar em stories com instruções claras, destaques de “como funciona” e enviar direct com dúvidas. São perfeitos para produtos de uso doméstico, alimentação, cuidados pessoais, serviços locais e soluções rápidas — inclusive papel higiênico., Aqui temos mães, pais e cuidadores que consomem Instagram como extensão da vida familiar. Acessam a plataforma de manhã, antes do caos começar, ou à noite, quando a casa está em silêncio. Preferem conteúdo que ajude na rotina, sem exigir esforço mental. Se conectam com memes sobre filhos, reviews de produtos, dicas financeiras e soluções práticas para o dia a dia. Detestam jargões, enrolação e vídeos confusos. Clicam em stories com explicação leve, CTAs contextuais e depoimentos reais. Perfeitos para nichos de lar, saúde, limpeza, alimentação e bem-estar familiar., Esse público vive atrás de ofertas, novidades e condições especiais. Estão atentos a cupons, lançamentos e conteúdos com gatilhos de escassez ou urgência. Acessam o Instagram ao longo do dia, com mais força nas quintas e sextas. Pensam: “se eu não aproveitar isso agora, vou me arrepender”. Clicam imediatamente em botões chamativos, muitas vezes sem nem ler a legenda toda. Ideais para ecommerce, campanhas de lançamento, datas sazonais, produtos promocionais e qualquer conteúdo que envolva vantagem imediata..
Sua estrutura deve conter:
- Material feito para apenas um post estático ( Apenas 1 Lâmina, não é um carrossel )
- Título com impacto e conexão emocional ou racional
- Bloco de texto claro e direto com mensagem principal
- Fechamento com CTA simples e objetivo
- Legenda para o post
- Hashtags para o post
- Orientação Visual do post
Ao receber a ideia, escolha a melhor estrutura entre estas:
1. Problema &gt; Reflexão &gt; Solução
2. Dúvida &gt; Confirmação &gt; Oferta
3. Frase de Impacto &gt; Explicação &gt; CTA
4. Alerta &gt; Comparação &gt; Caminho Certo
5. Antes &gt; Depois &gt; Causa
6. Situação comum &gt; Novo olhar &gt; Caminho possível
7. Dor latente &gt; Benefício direto &gt; Proposta de valor
8. Crença limitante &gt; Ruptura &gt; Novo cenário
Quando finalizar de ler todo o material acima diga:
Entendi perfeitamente sobre quem devo criar o material, agora me diga qual a ideia.</v>
      </c>
    </row>
    <row r="5" ht="21.75" customHeight="1">
      <c r="A5" s="8" t="s">
        <v>745</v>
      </c>
      <c r="B5" s="40" t="str">
        <f>IFERROR(__xludf.DUMMYFUNCTION("""Você tem a tarefa de criar um carrossel de alto impacto para redes sociais.
O cliente é "" &amp; POSICIONAMENTO!B3 &amp; "", que atende na região "" &amp; POSICIONAMENTO!C3 &amp; "" e vende o produto "" &amp; POSICIONAMENTO!F3 &amp; "", com modelo de negócio "" &amp; POSICIONAMEN"&amp;"TO!D3 &amp; "". Este mês "" &amp; POSICIONAMENTO!G3 &amp; "".
Nosso público-alvo é: "" &amp; 'USE CASE MAP'!B3 &amp; ""
Essa persona está em busca de: "" &amp; 'USE CASE MAP'!C3 &amp; ""
O principal desafio enfrentado é: "" &amp; 'USE CASE MAP'!D3 &amp; ""
As dores mais relevantes são: "&amp;""" &amp; 'USE CASE MAP'!E3 &amp; ""
Ela precisa de: "" &amp; 'USE CASE MAP'!F3 &amp; ""
Deseja alcançar: "" &amp; 'USE CASE MAP'!G3 &amp; ""
Sua linguagem é: "" &amp; 'USE CASE MAP'!H3 &amp; ""
O problema central é: "" &amp; 'USE CASE MAP'!B7 &amp; ""
Contexto atual: "" &amp; 'USE CASE MAP'!C7"&amp;" &amp; ""
Como essa pessoa lida com isso hoje: "" &amp; 'USE CASE MAP'!D7 &amp; ""
Frases reais que ela usa: "" &amp; 'USE CASE MAP'!E7 &amp; ""
A causa real por trás desse problema é: "" &amp; 'USE CASE MAP'!F7 &amp; ""
Frequência com que sente esse problema: "" &amp; 'USE CASE MAP"&amp;"'!G7 &amp; ""
Alternativas que essa persona considera:
- Diretas: "" &amp; 'USE CASE MAP'!B11 &amp; ""
- Indiretas: "" &amp; 'USE CASE MAP'!C11 &amp; ""
- Substitutas: "" &amp; 'USE CASE MAP'!D11 &amp; ""
Gatilhos que levam à compra: "" &amp; 'USE CASE MAP'!E11 &amp; ""
Nosso diferencial"&amp;" percebido é: "" &amp; 'USE CASE MAP'!F11 &amp; ""
Benefícios de curto prazo esperados: "" &amp; 'USE CASE MAP'!G11 &amp; ""
Benefícios de longo prazo esperados: "" &amp; 'USE CASE MAP'!H11 &amp; ""
A comunicação da marca deve ter um tom "" &amp; POSICIONAMENTO!B7 &amp; "", usando um"&amp;"a linguagem "" &amp; POSICIONAMENTO!C7 &amp; "", com o objetivo de fazer com que a persona sinta: "" &amp; POSICIONAMENTO!D7 &amp; "".
O carrossel será publicado na plataforma "" &amp; CANAIS!A1 &amp; "" e os públicos que podem acabar recebendo esse conteúdo são: "" &amp; TEXTJOIN("&amp;""", "", TRUE, FILTER(CANAIS!B5:H5, CANAIS!B4:H4=""SIM"")) &amp; "".
Sua estrutura deve conter:
- Slide inicial com título forte, provocador ou de alto interesse
- Desenvolvimento fluido da ideia em quantos slides forem necessários
- Fechamento com CTA claro,"&amp;" provocação ou reforço estratégico
- Legenda complementar para o post
- Hashtags recomendadas
- Orientação Visual para o designer
Ao receber a ideia, escolha a melhor estrutura entre estas:
1. Promessa &gt; Argumentos &gt; CTA
2. Problema &gt; Questionamento &gt; So"&amp;"lução
3. Crença Limitante &gt; Ruptura &gt; Reposicionamento
4. Antes e Depois &gt; Caminho
5. História Real &gt; Reflexão &gt; Oferta
6. Insight &gt; Detalhamento &gt; Chamada à Ação
7. Diagnóstico &gt; Causa &gt; Proposta
Quando finalizar de ler todo o material acima diga:
Enten"&amp;"di perfeitamente sobre quem devo criar o material, agora me diga qual a ideia.""
"),"Você tem a tarefa de criar um carrossel de alto impacto para redes sociais.
O cliente é MINA PIZZA, que atende na região São Vicente - SP  e vende o produto Pizzas, Marmitas, Pastéis e Refeições Delivery, com modelo de negócio Negócio Local (loja física,"&amp;" restaurante, clínica etc.). Este mês Não Temos Sazonalidade.
Nosso público-alvo é: O público principal da Mina Pizza não procura apenas uma pizzaria. Ele procura um estabelecimento que já faz parte da rotina da família e transmite confiança. São morador"&amp;"es de São Vicente e cidades próximas que trabalham durante o dia, possuem pouco tempo para cozinhar e valorizam estabelecimentos tradicionais que entreguem qualidade consistente sem complicação.
Grande parte desse público conheceu a empresa por indicação"&amp;", pela localização ou por muitos anos de operação. Não é um consumidor que busca tendências gastronômicas ou restaurantes ""instagramáveis"". Seu comportamento é orientado por previsibilidade: ele prefere comprar onde já sabe que será bem atendido e receb"&amp;"erá um produto que conhece.
Além da pizza, existe uma oportunidade importante de expansão por meio das marmitas e refeições do dia, aproveitando um hábito de consumo recorrente durante a semana, estratégia já identificada nas reuniões de planejamento.
E"&amp;"ssa persona está em busca de: O principal objetivo desse cliente é resolver uma necessidade cotidiana de alimentação com rapidez, praticidade e segurança. Ele deseja evitar o desgaste de cozinhar, ganhar tempo após um dia de trabalho e alimentar a família"&amp;" sem correr riscos ao experimentar locais desconhecidos.
Quando pede uma pizza, busca um momento de lazer e convivência familiar. Quando compra uma marmita, procura uma solução prática para o almoço sem perder a sensação de comida caseira.
Existe também"&amp;" uma motivação emocional importante: consumir em um local tradicional reforça a sensação de pertencimento e continuidade de uma rotina construída ao longo dos anos.
O principal desafio enfrentado é: Embora seja um cliente fiel, sua permanência não é gara"&amp;"ntida. O aumento das opções de delivery e a facilidade de comparação entre restaurantes tornam a experiência de atendimento um fator decisivo.
Nas reuniões foram identificados desafios operacionais que impactam diretamente essa percepção, como dificuldad"&amp;"es no atendimento telefônico, demora na resposta, falta de padronização e limitações nos canais digitais.
Outro desafio é que esse público não deseja aprender processos novos para fazer um pedido. Quanto mais simples for a jornada — especialmente via Wha"&amp;"tsApp — maior tende a ser a conversão. Essa necessidade de simplificação também foi destacada durante o diagnóstico.
As dores mais relevantes são: A principal dor não está relacionada apenas ao produto, mas à experiência completa.
Quando decide pedir co"&amp;"mida, o cliente espera rapidez, clareza e cordialidade. Qualquer atrito durante esse processo reduz sua confiança na marca.
As reuniões identificaram reclamações recorrentes envolvendo atendimento telefônico ríspido, demora, falta de informações sobre pr"&amp;"odutos e dificuldades durante o pedido, pontos confirmados tanto pelas avaliações públicas quanto pelo teste de cliente oculto.
Algumas expressões que representam esse sentimento são:
""Toda vez preciso ligar mais de uma vez.""
""Nunca sei quais pratos "&amp;"têm hoje.""
""Quem atende parece estar com pressa.""
""Achei que a qualidade caiu.""
""Está ficando caro pelo que entrega.""
""Prefiro pedir onde respondem mais rápido.""
Ela precisa de: Mais do que alimentação, esse cliente precisa de previsibilidade.
"&amp;"Ele deseja encontrar facilmente a empresa no Google, visualizar o cardápio atualizado, receber atendimento rápido pelo WhatsApp, ter informações claras sobre preços e opções disponíveis e concluir o pedido sem esforço.
Também existe uma necessidade cresc"&amp;"ente de relacionamento. O público valoriza sentir que é reconhecido, lembrado e respeitado durante o atendimento, aspecto discutido na aplicação da metodologia Jobs to Be Done durante a consultoria.
Deseja alcançar: O cliente deseja manter a confiança co"&amp;"nstruída ao longo dos anos, mas espera perceber evolução na empresa.
Ele quer continuar comprando na Mina Pizza sabendo que encontrará uma operação mais moderna, organizada e eficiente, sem perder a tradição que o fez se tornar cliente.
Também busca pra"&amp;"ticidade para repetir pedidos, receber novidades, promoções e cardápios sem precisar procurar informações em diversos canais.
Essa combinação entre tradição e modernização foi definida como o posicionamento estratégico de ""tradição redescoberta"" nas re"&amp;"uniões de diagnóstico.
Sua linguagem é: A comunicação ideal para esse público deve ser simples, objetiva e acolhedora.
O diagnóstico concluiu que o cliente da Mina Pizza responde melhor a uma linguagem direta, evitando excesso de memes, tendências ou co"&amp;"nteúdos excessivamente informais. A recomendação foi priorizar clareza, tradição e proximidade no tom de voz da marca.
Esse público costuma utilizar expressões como:
""Vou pedir a pizza de sempre.""
""Tem marmita hoje?""
""Manda o cardápio no WhatsApp."&amp;"""
""Quanto tempo demora?""
""Vocês entregam aqui?""
""Quero uma comida boa sem complicação.""
Essa forma de comunicação demonstra que o cliente valoriza objetividade e conveniência, e espera que a empresa acompanhe esse mesmo padrão em todos os pontos d"&amp;"e contato.
O problema central é: A Mina Pizza possui uma marca tradicional e reconhecida localmente, porém sua operação digital e parte da experiência de atendimento ainda não acompanham as expectativas atuais do consumidor.
Isso gera um cenário em que "&amp;"novos clientes encontram barreiras para conhecer a empresa, enquanto clientes antigos percebem inconsistências que podem comprometer sua fidelidade. O problema deixa de ser apenas operacional e passa a impactar diretamente o crescimento do negócio.
O dia"&amp;"gnóstico também mostrou baixa maturidade digital, com deficiência na gestão do Google Meu Negócio, ausência de campanhas estruturadas, pouca constância nas redes sociais e dependência elevada de plataformas terceiras.
Contexto atual: Durante muitos anos,"&amp;" a Mina Pizza construiu sua clientela principalmente pela localização, tradição e indicação.
Esse modelo foi suficiente enquanto o comportamento de compra era predominantemente presencial ou telefônico. Entretanto, o mercado mudou.
Hoje, antes de escolh"&amp;"er um restaurante, o consumidor pesquisa no Google, compara avaliações, consulta fotos, verifica horários, busca facilidade para pedir e espera respostas rápidas pelos canais digitais.
Nas reuniões foi constatado que existiam problemas como localização i"&amp;"ncorreta no Google, avaliações sem resposta, Instagram desatualizado, inconsistências de identidade da marca e limitações na apresentação do cardápio digital. Esses fatores reduzem a confiança de novos consumidores antes mesmo do primeiro pedido.
Ao mesm"&amp;"o tempo, concorrentes investem continuamente em Google Ads, Meta Ads, presença digital e conteúdos visuais, aumentando sua vantagem competitiva.
Como essa pessoa lida com isso hoje: Na ausência de uma experiência digital consistente, o cliente busca alte"&amp;"rnativas para reduzir o esforço da compra.
Ele costuma ligar diretamente para o restaurante, procurar informações nas avaliações do Google, acessar o iFood para verificar cardápio e preços ou simplesmente escolher um concorrente cuja jornada seja mais rá"&amp;"pida e intuitiva.
Clientes antigos frequentemente continuam comprando pela confiança construída ao longo dos anos, mas clientes novos tendem a desistir diante de pequenas dificuldades.
O diagnóstico também identificou que muitos consumidores acabam perm"&amp;"anecendo no iFood pela praticidade, mesmo quando a empresa deseja migrá-los para canais próprios, como o WhatsApp Business, reduzindo a dependência da plataforma.
Frases reais que ela usa: A dor percebida pelo cliente não costuma ser verbalizada em termo"&amp;"s técnicos. Ela aparece em comentários simples que refletem frustração durante a jornada de compra.
Expressões compatíveis com o cenário identificado nas reuniões incluem:
""Não consegui falar com ninguém.""
""Demoraram para atender.""
""Não achei o car"&amp;"dápio.""
""Não sabia quanto custava.""
""Achei que tinham fechado.""
""No iFood foi mais fácil pedir.""
""Quem me atendeu parecia sem paciência.""
O teste de cliente oculto confirmou dificuldades como espera elevada, falta de informações sobre produtos, "&amp;"conversas paralelas durante o atendimento telefônico e tom de voz considerado ríspido, reforçando críticas já presentes nas avaliações online.
A causa real por trás desse problema é: A causa do problema não está na qualidade da marca ou na ausência de me"&amp;"rcado.
Ela resulta da combinação de fatores operacionais e digitais que se acumularam ao longo do tempo.
Entre os principais fatores identificados durante a consultoria estão:
baixa maturidade digital;
ausência de rotina para gestão de reputação online"&amp;";
inconsistência entre os canais digitais;
atendimento telefônico sem protocolo padronizado;
dependência excessiva do iFood;
adoção tardia de ferramentas como WhatsApp Business;
dificuldade em apresentar corretamente o portfólio de produtos, especialmente"&amp;" marmitas.
Em outras palavras, o negócio possui valor percebido pela tradição, mas ainda não transformou esse patrimônio em uma operação preparada para competir no ambiente digital.
Frequência com que sente esse problema: Esse problema é constante.
Tod"&amp;"os os dias novos consumidores pesquisam restaurantes antes de decidir onde comprar, enquanto clientes recorrentes avaliam cada interação para decidir se continuarão comprando da mesma empresa.
Cada ligação mal conduzida, avaliação sem resposta, dificulda"&amp;"de para encontrar informações ou atendimento demorado representa uma oportunidade perdida de venda ou fidelização.
Por isso, durante o planejamento, foi definida como prioridade a reorganização da presença digital, a implementação do WhatsApp Business, a"&amp;" padronização do atendimento e a gestão ativa das avaliações antes de ampliar os investimentos em mídia paga.
Alternativas que essa persona considera:
- Diretas: As alternativas diretas são empresas que disputam exatamente o mesmo espaço mental do consu"&amp;"midor: quando ele decide pedir uma pizza, uma marmita ou uma refeição pronta na região de São Vicente.
O principal concorrente identificado durante a consultoria foi o Império da Pizza, que possui forte presença no Google, Instagram e iFood, além de oper"&amp;"ar mais de uma unidade física. Seu diferencial está na consistência da presença digital e na facilidade de ser encontrado quando o consumidor pesquisa por pizzarias na região.
Outro concorrente relevante é o Café com Pizza, que apresenta alto volume de a"&amp;"valiações e boa exposição no iFood. Apesar de possuir um posicionamento mais genérico, sua presença constante nas plataformas digitais faz com que participe diretamente da decisão de compra do consumidor.
A Big Família foi considerada a principal referên"&amp;"cia aspiracional para a Mina Pizza. O modelo de negócio, que combina almoço, marmitas e pizzas, é bastante semelhante ao objetivo estratégico definido para a empresa. Além disso, sua comunicação, identidade visual e presença digital demonstram um nível de"&amp;" maturidade superior, tornando-a um benchmark para futuras ações.
Esses concorrentes competem diretamente pelos mesmos clientes, horários de consumo, localização geográfica e intenção de compra.
- Indiretas: As alternativas indiretas atendem à mesma nece"&amp;"ssidade principal — alimentar-se com praticidade — porém utilizando propostas diferentes.
Entre elas estão restaurantes especializados em marmitas, self-service, comida caseira, lanchonetes, hamburguerias, pastelarias e outros estabelecimentos que oferec"&amp;"em refeições prontas para almoço ou jantar.
O próprio diagnóstico apontou que a expansão das marmitas representa uma oportunidade justamente porque o consumidor não procura apenas ""pizza""; durante a semana ele busca resolver rapidamente o almoço. Essa "&amp;"mudança de comportamento foi considerada uma das principais oportunidades de crescimento da Mina Pizza.
Também entram nessa categoria os estabelecimentos fortemente posicionados dentro do iFood, que aparecem antes da Mina Pizza graças ao investimento em "&amp;"mídia, avaliações e otimização da plataforma.
- Substitutas: As alternativas substitutas mudam completamente a lógica de consumo.
O cliente pode decidir cozinhar em casa, comprar refeições prontas em supermercados, consumir alimentos congelados ou recorr"&amp;"er a conveniências e padarias próximas.
Outra alternativa substituta é simplesmente optar por uma refeição mais simples para evitar custos ou esforço de decisão.
Na prática, quando a jornada de compra da Mina Pizza apresenta atritos — dificuldade para l"&amp;"ocalizar o restaurante, atendimento lento, ausência de informações claras ou canais pouco intuitivos — o consumidor tende a abandonar a intenção inicial e escolher a solução que exigir menos esforço.
Foi exatamente por esse motivo que, durante a consulto"&amp;"ria, foi reforçado o princípio de experiência do usuário de ""não me faça pensar"", simplificando a jornada por meio de canais como WhatsApp Business, cardápios organizados e informações facilmente acessíveis.
Gatilhos que levam à compra: O cliente não a"&amp;"corda querendo comprar uma pizza ou uma marmita; ele busca resolver uma situação específica do seu dia.
Durante a semana, o gatilho mais comum é a falta de tempo. Depois de um dia de trabalho, ele quer uma refeição pronta, saborosa e confiável, sem preci"&amp;"sar cozinhar ou perder tempo escolhendo entre dezenas de opções. No horário do almoço, procura uma comida que transmita a sensação de refeição caseira, com rapidez e bom custo-benefício.
Nos finais de semana, o gatilho muda. A pizza representa um momento"&amp;" de convivência: reunir a família, receber amigos ou simplesmente transformar uma noite comum em uma ocasião agradável. Nesses momentos, o cliente evita correr riscos escolhendo um restaurante desconhecido e tende a recorrer a marcas que já fazem parte da"&amp;" sua história.
Outro gatilho importante identificado nas reuniões é a busca por praticidade. Quando o consumidor encontra facilmente o restaurante no Google, acessa um cardápio organizado, faz o pedido rapidamente pelo WhatsApp e recebe um atendimento co"&amp;"rdial, a decisão de compra se torna quase automática.
Nosso diferencial percebido é: O maior diferencial competitivo da Mina Pizza não é apenas vender pizzas, marmitas ou pastéis. É possuir uma história autêntica construída ao longo de décadas, combinada"&amp;" com um projeto de modernização que preserva essa identidade.
Enquanto muitos concorrentes precisam criar narrativas para transmitir tradição, a Mina Pizza possui um legado real que pode ser utilizado como elemento de diferenciação. Esse posicionamento f"&amp;"oi reconhecido nas reuniões como uma vantagem estratégica relevante.
Além da tradição, outros diferenciais fortalecem essa proposta:
diversidade de produtos para diferentes momentos de consumo (pizza, marmitas e pastéis);
reconhecimento local consolidad"&amp;"o;
relacionamento próximo com clientes recorrentes;
potencial para oferecer uma experiência simples e eficiente por canais próprios, reduzindo a dependência de plataformas.
Quando esses elementos são combinados com atendimento padronizado, boa gestão da "&amp;"reputação online e presença digital consistente, a empresa deixa de competir apenas por preço e passa a competir por confiança
Benefícios de curto prazo esperados: Os benefícios percebidos imediatamente pelo cliente são práticos e facilmente mensuráveis."&amp;"
Ele consegue encontrar a empresa com facilidade, visualizar informações atualizadas, acessar um cardápio organizado, realizar o pedido sem esforço e receber um atendimento mais rápido e cordial.
Essas melhorias reduzem o tempo entre a intenção de compr"&amp;"a e a conclusão do pedido, diminuem a insegurança durante a escolha e aumentam a satisfação logo na primeira experiência.
Do ponto de vista emocional, o cliente sente tranquilidade ao perceber que está comprando de uma empresa organizada, acessível e pre"&amp;"parada para atendê-lo.
Grande parte das ações propostas durante a consultoria — implementação do WhatsApp Business, padronização do atendimento, atualização do Google Meu Negócio e organização da presença digital — foi planejada justamente para gerar ess"&amp;"e ganho imediato.
Benefícios de longo prazo esperados: A transformação mais importante acontece ao longo do relacionamento.
O cliente passa a enxergar a Mina Pizza não apenas como um restaurante tradicional, mas como a primeira opção quando pensa em ref"&amp;"eições práticas e confiáveis na região.
Essa percepção fortalece a fidelização, aumenta a frequência de compra e estimula recomendações espontâneas para familiares e amigos, reduzindo a necessidade de depender exclusivamente de promoções ou mídia paga pa"&amp;"ra gerar vendas.
Para a empresa, isso representa uma base de clientes mais sólida, maior previsibilidade de receita e crescimento sustentado por reputação, relacionamento e recorrência.
Esse objetivo está diretamente alinhado à estratégia definida nas r"&amp;"euniões: fortalecer canais próprios, aumentar a retenção da base atual e utilizar a tradição da marca como principal ativo competitivo, apoiado por uma operação digital mais eficiente.
A comunicação da marca deve ter um tom Próximo, acolhedor e tradicion"&amp;"al, usando uma linguagem Simples e objetiva, com linguagem regional e foco em confiança e tradição, com o objetivo de fazer com que a persona sinta: Que encontrou um restaurante de confiança, com tradição, atendimento próximo e comida de qualidade para co"&amp;"mpartilhar com a família sem preocupação..
O carrossel será publicado na plataforma INSTAGRAM e os públicos que podem acabar recebendo esse conteúdo são: São pessoas que consomem conteúdo em intervalos curtos ao longo do dia, como durante o transporte, p"&amp;"ausas no trabalho ou no banheiro. Preferem Reels de até 15 segundos, vídeos com legenda automática e ritmo acelerado. Não têm paciência para conteúdo lento ou complexo. Se algo chamar atenção nos primeiros segundos, elas param. O pensamento dominante é: “"&amp;"me mostra logo o que eu ganho com isso”. Normalmente clicam apenas se o botão ou mensagem for mais chamativo que o próprio conteúdo. Esse público é excelente para produtos de giro rápido, promoções diretas, reviews e humor cotidiano., Esse grupo é formado"&amp;" por pessoas mais racionais, que observam muito antes de agir. Costumam acessar o Instagram no início da manhã ou no final do dia, e valorizam conteúdos que ensinam algo útil. Carrosséis explicativos, análises, frameworks e bastidores são os formatos que "&amp;"mais atraem. Eles raramente curtem ou comentam, mas salvam e voltam depois. Clicam mais em DMs, botões discretos e CTAs bem posicionados. São ideais para negócios B2B, serviços técnicos, consultorias e produtos de alto valor com foco em argumento lógico.,"&amp;" Esse público é movido por aspiração e identidade. Querem encontrar referências de quem já chegou onde eles querem estar. Consomem frases com fundo preto, rotinas editadas, lifestyle e narrativas de superação. Estão presentes principalmente na madrugada e"&amp;" nas manhãs. Eles pensam: “quero ser alguém, quem já chegou lá?”. Engajam através de marcações, comentários de identificação e salvamentos emocionais. Conectam muito bem com conteúdos que falam sobre propósito, mudança de vida, estética e liberdade. São ó"&amp;"timos para marcas com storytelling forte, produtos aspiracionais e influenciadores., Formado por pessoas que usam o Instagram como ferramenta de solução, esse público valoriza conteúdos que resolvem problemas reais. Consomem antes e depois, tutoriais curt"&amp;"os, dicas rápidas e explicações simples. Estão ativos ao longo do expediente e aos sábados. Pensam sempre: “isso resolve meu problema agora?”. Costumam clicar em stories com instruções claras, destaques de “como funciona” e enviar direct com dúvidas. São "&amp;"perfeitos para produtos de uso doméstico, alimentação, cuidados pessoais, serviços locais e soluções rápidas — inclusive papel higiênico., Aqui temos mães, pais e cuidadores que consomem Instagram como extensão da vida familiar. Acessam a plataforma de ma"&amp;"nhã, antes do caos começar, ou à noite, quando a casa está em silêncio. Preferem conteúdo que ajude na rotina, sem exigir esforço mental. Se conectam com memes sobre filhos, reviews de produtos, dicas financeiras e soluções práticas para o dia a dia. Dete"&amp;"stam jargões, enrolação e vídeos confusos. Clicam em stories com explicação leve, CTAs contextuais e depoimentos reais. Perfeitos para nichos de lar, saúde, limpeza, alimentação e bem-estar familiar., Esse público vive atrás de ofertas, novidades e condiç"&amp;"ões especiais. Estão atentos a cupons, lançamentos e conteúdos com gatilhos de escassez ou urgência. Acessam o Instagram ao longo do dia, com mais força nas quintas e sextas. Pensam: “se eu não aproveitar isso agora, vou me arrepender”. Clicam imediatamen"&amp;"te em botões chamativos, muitas vezes sem nem ler a legenda toda. Ideais para ecommerce, campanhas de lançamento, datas sazonais, produtos promocionais e qualquer conteúdo que envolva vantagem imediata..
Sua estrutura deve conter:
- Slide inicial com tít"&amp;"ulo forte, provocador ou de alto interesse
- Desenvolvimento fluido da ideia em quantos slides forem necessários
- Fechamento com CTA claro, provocação ou reforço estratégico
- Legenda complementar para o post
- Hashtags recomendadas
- Orientação Visual p"&amp;"ara o designer
Ao receber a ideia, escolha a melhor estrutura entre estas:
1. Promessa &gt; Argumentos &gt; CTA
2. Problema &gt; Questionamento &gt; Solução
3. Crença Limitante &gt; Ruptura &gt; Reposicionamento
4. Antes e Depois &gt; Caminho
5. História Real &gt; Reflexão &gt; Of"&amp;"erta
6. Insight &gt; Detalhamento &gt; Chamada à Ação
7. Diagnóstico &gt; Causa &gt; Proposta
Quando finalizar de ler todo o material acima diga:
Entendi perfeitamente sobre quem devo criar o material, agora me diga qual a ideia.")</f>
        <v>Você tem a tarefa de criar um carrossel de alto impacto para redes sociais.
O cliente é MINA PIZZA, que atende na região São Vicente - SP  e vende o produto Pizzas, Marmitas, Pastéis e Refeições Delivery, com modelo de negócio Negócio Local (loja física, restaurante, clínica etc.). Este mês Não Temos Sazonalidade.
Nosso público-alvo é: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Essa persona está em busca de: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O principal desafio enfrentado é: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As dores mais relevantes são: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Ela precisa de: Mais do que alimentação, esse cliente precisa de previsibilidade.
Ele deseja encontrar facilmente a empresa no Google, visualizar o cardápio atualizado, receber atendimento rápido pelo WhatsApp, ter informações claras sobre preços e opções disponíveis e concluir o pedido sem esforço.
Também existe uma necessidade crescente de relacionamento. O público valoriza sentir que é reconhecido, lembrado e respeitado durante o atendimento, aspecto discutido na aplicação da metodologia Jobs to Be Done durante a consultoria.
Deseja alcançar: O cliente deseja manter a confiança construída ao longo dos anos, mas espera perceber evolução na empresa.
Ele quer continuar comprando na Mina Pizza sabendo que encontrará uma operação mais moderna, organizada e eficiente, sem perder a tradição que o fez se tornar cliente.
Também busca praticidade para repetir pedidos, receber novidades, promoções e cardápios sem precisar procurar informações em diversos canais.
Essa combinação entre tradição e modernização foi definida como o posicionamento estratégico de "tradição redescoberta" nas reuniões de diagnóstico.
Sua linguagem é: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O problema central é: A Mina Pizza possui uma marca tradicional e reconhecida localmente, porém sua operação digital e parte da experiência de atendimento ainda não acompanham as expectativas atuais do consumidor.
Isso gera um cenário em que novos clientes encontram barreiras para conhecer a empresa, enquanto clientes antigos percebem inconsistências que podem comprometer sua fidelidade. O problema deixa de ser apenas operacional e passa a impactar diretamente o crescimento do negócio.
O diagnóstico também mostrou baixa maturidade digital, com deficiência na gestão do Google Meu Negócio, ausência de campanhas estruturadas, pouca constância nas redes sociais e dependência elevada de plataformas terceiras.
Contexto atual: Durante muitos anos, a Mina Pizza construiu sua clientela principalmente pela localização, tradição e indicação.
Esse modelo foi suficiente enquanto o comportamento de compra era predominantemente presencial ou telefônico. Entretanto, o mercado mudou.
Hoje, antes de escolher um restaurante, o consumidor pesquisa no Google, compara avaliações, consulta fotos, verifica horários, busca facilidade para pedir e espera respostas rápidas pelos canais digitais.
Nas reuniões foi constatado que existiam problemas como localização incorreta no Google, avaliações sem resposta, Instagram desatualizado, inconsistências de identidade da marca e limitações na apresentação do cardápio digital. Esses fatores reduzem a confiança de novos consumidores antes mesmo do primeiro pedido.
Ao mesmo tempo, concorrentes investem continuamente em Google Ads, Meta Ads, presença digital e conteúdos visuais, aumentando sua vantagem competitiva.
Como essa pessoa lida com isso hoje: 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
Frases reais que ela usa: A dor percebida pelo cliente não costuma ser verbalizada em termos técnicos. Ela aparece em comentários simples que refletem frustração durante a jornada de compra.
Expressões compatíveis com o cenário identificado nas reuniões incluem:
"Não consegui falar com ninguém."
"Demoraram para atender."
"Não achei o cardápio."
"Não sabia quanto custava."
"Achei que tinham fechado."
"No iFood foi mais fácil pedir."
"Quem me atendeu parecia sem paciência."
O teste de cliente oculto confirmou dificuldades como espera elevada, falta de informações sobre produtos, conversas paralelas durante o atendimento telefônico e tom de voz considerado ríspido, reforçando críticas já presentes nas avaliações online.
A causa real por trás desse problema é: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Frequência com que sente esse problema: Esse problema é constante.
Todos os dias novos consumidores pesquisam restaurantes antes de decidir onde comprar, enquanto clientes recorrentes avaliam cada interação para decidir se continuarão comprando da mesma empresa.
Cada ligação mal conduzida, avaliação sem resposta, dificuldade para encontrar informações ou atendimento demorado representa uma oportunidade perdida de venda ou fidelização.
Por isso, durante o planejamento, foi definida como prioridade a reorganização da presença digital, a implementação do WhatsApp Business, a padronização do atendimento e a gestão ativa das avaliações antes de ampliar os investimentos em mídia paga.
Alternativas que essa persona considera:
- Diretas: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 Indiretas: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 Substitutas: 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
Gatilhos que levam à compra: O cliente não acorda querendo comprar uma pizza ou uma marmita; ele busca resolver uma situação específica do seu dia.
Durante a semana, o gatilho mais comum é a falta de tempo. Depois de um dia de trabalho, ele quer uma refeição pronta, saborosa e confiável, sem precisar cozinhar ou perder tempo escolhendo entre dezenas de opções. No horário do almoço, procura uma comida que transmita a sensação de refeição caseira, com rapidez e bom custo-benefício.
Nos finais de semana, o gatilho muda. A pizza representa um momento de convivência: reunir a família, receber amigos ou simplesmente transformar uma noite comum em uma ocasião agradável. Nesses momentos, o cliente evita correr riscos escolhendo um restaurante desconhecido e tende a recorrer a marcas que já fazem parte da sua história.
Outro gatilho importante identificado nas reuniões é a busca por praticidade. Quando o consumidor encontra facilmente o restaurante no Google, acessa um cardápio organizado, faz o pedido rapidamente pelo WhatsApp e recebe um atendimento cordial, a decisão de compra se torna quase automática.
Nosso diferencial percebido é: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Benefícios de curto prazo esperados: Os benefícios percebidos imediatamente pelo cliente são práticos e facilmente mensuráveis.
Ele consegue encontrar a empresa com facilidade, visualizar informações atualizadas, acessar um cardápio organizado, realizar o pedido sem esforço e receber um atendimento mais rápido e cordial.
Essas melhorias reduzem o tempo entre a intenção de compra e a conclusão do pedido, diminuem a insegurança durante a escolha e aumentam a satisfação logo na primeira experiência.
Do ponto de vista emocional, o cliente sente tranquilidade ao perceber que está comprando de uma empresa organizada, acessível e preparada para atendê-lo.
Grande parte das ações propostas durante a consultoria — implementação do WhatsApp Business, padronização do atendimento, atualização do Google Meu Negócio e organização da presença digital — foi planejada justamente para gerar esse ganho imediato.
Benefícios de longo prazo esperados: A transformação mais importante acontece ao longo do relacionamento.
O cliente passa a enxergar a Mina Pizza não apenas como um restaurante tradicional, mas como a primeira opção quando pensa em refeições práticas e confiáveis na região.
Essa percepção fortalece a fidelização, aumenta a frequência de compra e estimula recomendações espontâneas para familiares e amigos, reduzindo a necessidade de depender exclusivamente de promoções ou mídia paga para gerar vendas.
Para a empresa, isso representa uma base de clientes mais sólida, maior previsibilidade de receita e crescimento sustentado por reputação, relacionamento e recorrência.
Esse objetivo está diretamente alinhado à estratégia definida nas reuniões: fortalecer canais próprios, aumentar a retenção da base atual e utilizar a tradição da marca como principal ativo competitivo, apoiado por uma operação digital mais eficiente.
A comunicação da marca deve ter um tom Próximo, acolhedor e tradicional, usando uma linguagem Simples e objetiva, com linguagem regional e foco em confiança e tradição, com o objetivo de fazer com que a persona sinta: Que encontrou um restaurante de confiança, com tradição, atendimento próximo e comida de qualidade para compartilhar com a família sem preocupação..
O carrossel será publicado na plataforma INSTAGRAM e os públicos que podem acabar recebendo esse conteúdo são: São pessoas que consomem conteúdo em intervalos curtos ao longo do dia, como durante o transporte, pausas no trabalho ou no banheiro. Preferem Reels de até 15 segundos, vídeos com legenda automática e ritmo acelerado. Não têm paciência para conteúdo lento ou complexo. Se algo chamar atenção nos primeiros segundos, elas param. O pensamento dominante é: “me mostra logo o que eu ganho com isso”. Normalmente clicam apenas se o botão ou mensagem for mais chamativo que o próprio conteúdo. Esse público é excelente para produtos de giro rápido, promoções diretas, reviews e humor cotidiano., Esse grupo é formado por pessoas mais racionais, que observam muito antes de agir. Costumam acessar o Instagram no início da manhã ou no final do dia, e valorizam conteúdos que ensinam algo útil. Carrosséis explicativos, análises, frameworks e bastidores são os formatos que mais atraem. Eles raramente curtem ou comentam, mas salvam e voltam depois. Clicam mais em DMs, botões discretos e CTAs bem posicionados. São ideais para negócios B2B, serviços técnicos, consultorias e produtos de alto valor com foco em argumento lógico., Esse público é movido por aspiração e identidade. Querem encontrar referências de quem já chegou onde eles querem estar. Consomem frases com fundo preto, rotinas editadas, lifestyle e narrativas de superação. Estão presentes principalmente na madrugada e nas manhãs. Eles pensam: “quero ser alguém, quem já chegou lá?”. Engajam através de marcações, comentários de identificação e salvamentos emocionais. Conectam muito bem com conteúdos que falam sobre propósito, mudança de vida, estética e liberdade. São ótimos para marcas com storytelling forte, produtos aspiracionais e influenciadores., Formado por pessoas que usam o Instagram como ferramenta de solução, esse público valoriza conteúdos que resolvem problemas reais. Consomem antes e depois, tutoriais curtos, dicas rápidas e explicações simples. Estão ativos ao longo do expediente e aos sábados. Pensam sempre: “isso resolve meu problema agora?”. Costumam clicar em stories com instruções claras, destaques de “como funciona” e enviar direct com dúvidas. São perfeitos para produtos de uso doméstico, alimentação, cuidados pessoais, serviços locais e soluções rápidas — inclusive papel higiênico., Aqui temos mães, pais e cuidadores que consomem Instagram como extensão da vida familiar. Acessam a plataforma de manhã, antes do caos começar, ou à noite, quando a casa está em silêncio. Preferem conteúdo que ajude na rotina, sem exigir esforço mental. Se conectam com memes sobre filhos, reviews de produtos, dicas financeiras e soluções práticas para o dia a dia. Detestam jargões, enrolação e vídeos confusos. Clicam em stories com explicação leve, CTAs contextuais e depoimentos reais. Perfeitos para nichos de lar, saúde, limpeza, alimentação e bem-estar familiar., Esse público vive atrás de ofertas, novidades e condições especiais. Estão atentos a cupons, lançamentos e conteúdos com gatilhos de escassez ou urgência. Acessam o Instagram ao longo do dia, com mais força nas quintas e sextas. Pensam: “se eu não aproveitar isso agora, vou me arrepender”. Clicam imediatamente em botões chamativos, muitas vezes sem nem ler a legenda toda. Ideais para ecommerce, campanhas de lançamento, datas sazonais, produtos promocionais e qualquer conteúdo que envolva vantagem imediata..
Sua estrutura deve conter:
- Slide inicial com título forte, provocador ou de alto interesse
- Desenvolvimento fluido da ideia em quantos slides forem necessários
- Fechamento com CTA claro, provocação ou reforço estratégico
- Legenda complementar para o post
- Hashtags recomendadas
- Orientação Visual para o designer
Ao receber a ideia, escolha a melhor estrutura entre estas:
1. Promessa &gt; Argumentos &gt; CTA
2. Problema &gt; Questionamento &gt; Solução
3. Crença Limitante &gt; Ruptura &gt; Reposicionamento
4. Antes e Depois &gt; Caminho
5. História Real &gt; Reflexão &gt; Oferta
6. Insight &gt; Detalhamento &gt; Chamada à Ação
7. Diagnóstico &gt; Causa &gt; Proposta
Quando finalizar de ler todo o material acima diga:
Entendi perfeitamente sobre quem devo criar o material, agora me diga qual a ideia.</v>
      </c>
    </row>
    <row r="6" ht="21.75" customHeight="1">
      <c r="A6" s="8" t="s">
        <v>746</v>
      </c>
      <c r="B6" s="40" t="str">
        <f>"Você tem a tarefa de criar uma **régua de e-mails completa** para automação de CRM, com foco em conversão e relacionamento.
🧾 INFORMAÇÕES GERAIS DO NEGÓCIO
O cliente é " &amp; POSICIONAMENTO!B3 &amp; ", que atende na região " &amp; POSICIONAMENTO!C3 &amp; " com modelo de negócio " &amp; POSICIONAMENTO!D3 &amp; ".
O produto ou serviço oferecido é: " &amp; POSICIONAMENTO!F3 &amp; ". 
Este mês: " &amp; POSICIONAMENTO!G3 &amp; "
Nosso público-alvo é: " &amp; 'USE CASE MAP'!B3 &amp; "
Está em busca de: " &amp; 'USE CASE MAP'!C3 &amp; "
Enfrenta o desafio de: " &amp; 'USE CASE MAP'!D3 &amp; "
Sente as seguintes dores: " &amp; 'USE CASE MAP'!E3 &amp; "
Precisa de: " &amp; 'USE CASE MAP'!F3 &amp; "
Deseja alcançar: " &amp; 'USE CASE MAP'!G3 &amp; "
A linguagem dessa pessoa é: " &amp; 'USE CASE MAP'!H3 &amp; "
O tom da marca é: " &amp; POSICIONAMENTO!B7 &amp; "
Tipo de linguagem: " &amp; POSICIONAMENTO!C7 &amp; "
Sensação que queremos causar: " &amp; POSICIONAMENTO!D7 &amp; "
O diferencial do nosso negócio é: " &amp; 'USE CASE MAP'!F11 &amp; "
🧩 SUA RESPOSTA DEVE CONTER:
Para a régua escolhida, desenvolva os e-mails individualmente.
Cada e-mail deve conter:
- Assunto
- Pré-Header (texto que aparece antes de abrir o e-mail)
- Saudação personalizada (Ex: Olá, [Nome])
- Texto principal (const"&amp;"ruído com copy que gere conexão, valor ou urgência)
- CTA final (com tom direto e coerente com o objetivo)
- Observação de tom (emocional, racional ou misto)
🎯 RÉGUAS DISPONÍVEIS (escolha uma abaixo para iniciar):
1️⃣ ATIVAÇÃO
- E-mail 1: Boas-vindas
-"&amp;" E-mail 2: Apresentação do portfólio
- E-mail 3: Provas sociais (clientes ou resultados)
- E-mail 4: Condições comerciais
- E-mail 5: Urgência (escassez ou prazo)
2️⃣ RECUPERAÇÃO DE VENDA
- E-mail 1: Reaproximação amigável
- E-mail 2: Benefícios exclusiv"&amp;"os
- E-mail 3: Novidades / Atualizações
- E-mail 4: Depoimento ou case real
- E-mail 5: Chamada final com urgência
3️⃣ NUTRIÇÃO
- E-mail 1: Conteúdo de abertura (conexão e curiosidade)
- E-mail 2: Conteúdo topo de funil (informativo e relevante)
- E-mail"&amp;" 3: Conteúdo meio de funil (educacional + problema/solução)
- E-mail 4: Conteúdo com oferta (leve, sem pressão)
🔁 Após criar todos os e-mails da régua solicitada, pergunte:
“Deseja que eu crie outra régua agora? Ou seguimos para outro canal como WhatsAp"&amp;"p, SMS ou fluxos integrados?”
Para começar, diga:
**“Qual régua você deseja? 1 - Ativação 2 - Recuperação 3 - Nutrição”**"
</f>
        <v>Você tem a tarefa de criar uma **régua de e-mails completa** para automação de CRM, com foco em conversão e relacionamento.
🧾 INFORMAÇÕES GERAIS DO NEGÓCIO
O cliente é MINA PIZZA, que atende na região São Vicente - SP  com modelo de negócio Negócio Local (loja física, restaurante, clínica etc.).
O produto ou serviço oferecido é: Pizzas, Marmitas, Pastéis e Refeições Delivery. 
Este mês: Não Temos Sazonalidade
Nosso público-alvo é: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Está em busca de: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Enfrenta o desafio de: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Sente as seguintes dores: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Precisa de: Mais do que alimentação, esse cliente precisa de previsibilidade.
Ele deseja encontrar facilmente a empresa no Google, visualizar o cardápio atualizado, receber atendimento rápido pelo WhatsApp, ter informações claras sobre preços e opções disponíveis e concluir o pedido sem esforço.
Também existe uma necessidade crescente de relacionamento. O público valoriza sentir que é reconhecido, lembrado e respeitado durante o atendimento, aspecto discutido na aplicação da metodologia Jobs to Be Done durante a consultoria.
Deseja alcançar: O cliente deseja manter a confiança construída ao longo dos anos, mas espera perceber evolução na empresa.
Ele quer continuar comprando na Mina Pizza sabendo que encontrará uma operação mais moderna, organizada e eficiente, sem perder a tradição que o fez se tornar cliente.
Também busca praticidade para repetir pedidos, receber novidades, promoções e cardápios sem precisar procurar informações em diversos canais.
Essa combinação entre tradição e modernização foi definida como o posicionamento estratégico de "tradição redescoberta" nas reuniões de diagnóstico.
A linguagem dessa pessoa é: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O tom da marca é: Próximo, acolhedor e tradicional
Tipo de linguagem: Simples e objetiva, com linguagem regional e foco em confiança e tradição
Sensação que queremos causar: Que encontrou um restaurante de confiança, com tradição, atendimento próximo e comida de qualidade para compartilhar com a família sem preocupação.
O diferencial do nosso negócio é: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 SUA RESPOSTA DEVE CONTER:
Para a régua escolhida, desenvolva os e-mails individualmente.
Cada e-mail deve conter:
- Assunto
- Pré-Header (texto que aparece antes de abrir o e-mail)
- Saudação personalizada (Ex: Olá, [Nome])
- Texto principal (construído com copy que gere conexão, valor ou urgência)
- CTA final (com tom direto e coerente com o objetivo)
- Observação de tom (emocional, racional ou misto)
🎯 RÉGUAS DISPONÍVEIS (escolha uma abaixo para iniciar):
1️⃣ ATIVAÇÃO
- E-mail 1: Boas-vindas
- E-mail 2: Apresentação do portfólio
- E-mail 3: Provas sociais (clientes ou resultados)
- E-mail 4: Condições comerciais
- E-mail 5: Urgência (escassez ou prazo)
2️⃣ RECUPERAÇÃO DE VENDA
- E-mail 1: Reaproximação amigável
- E-mail 2: Benefícios exclusivos
- E-mail 3: Novidades / Atualizações
- E-mail 4: Depoimento ou case real
- E-mail 5: Chamada final com urgência
3️⃣ NUTRIÇÃO
- E-mail 1: Conteúdo de abertura (conexão e curiosidade)
- E-mail 2: Conteúdo topo de funil (informativo e relevante)
- E-mail 3: Conteúdo meio de funil (educacional + problema/solução)
- E-mail 4: Conteúdo com oferta (leve, sem pressão)
🔁 Após criar todos os e-mails da régua solicitada, pergunte:
“Deseja que eu crie outra régua agora? Ou seguimos para outro canal como WhatsApp, SMS ou fluxos integrados?”
Para começar, diga:
**“Qual régua você deseja? 1 - Ativação 2 - Recuperação 3 - Nutrição”**</v>
      </c>
    </row>
    <row r="7" ht="21.75" customHeight="1">
      <c r="A7" s="8" t="s">
        <v>747</v>
      </c>
      <c r="B7" s="40" t="str">
        <f>"Você tem a tarefa de criar uma Landing Page de alta conversão para o seguinte cenário:
INFORMAÇÕES GERAIS
O cliente é " &amp; POSICIONAMENTO!B3 &amp; ", que atende na região " &amp; POSICIONAMENTO!C3 &amp; ", com modelo de negócio " &amp; POSICIONAMENTO!D3 &amp; ". 
O produto ou serviço principal é: " &amp; POSICIONAMENTO!F3 &amp; ". 
Este mês: " &amp; POSICIONAMENTO!G3 &amp; "
O público-alvo é: " &amp; 'USE CASE MAP'!B3 &amp; "
Essa persona está em busca de: " &amp; 'USE CASE MAP'!C3 &amp; "
Ela enfrenta o desafio de: " &amp; 'USE CASE MAP'!D3 &amp; "
Dores principais: " &amp; 'USE CASE MAP'!E3 &amp; "
Precisa de: " &amp; 'USE CASE MAP'!F3 &amp; "
Deseja alcançar: " &amp; 'USE CASE MAP'!G3 &amp; "
A linguagem dessa pessoa é: " &amp; 'USE CASE MAP'!H3 &amp; "
O tom da marca é: " &amp; POSICIONAMENTO!B7 &amp; "
Tipo de linguagem a ser usada: " &amp; POSICIONAMENTO!C7 &amp; "
Sensação que queremos causar: " &amp; POSICIONAMENTO!D7 &amp; "
A palavra-chave central da comunicação deve ser: """ &amp; POSICIONAMENTO!G7 &amp; """"
SUA RESPOSTA DEVE RESPEITAR A ESTRUTURA A SEGUIR:
1. HERO (Acima da Dobra)
- H1 (Título Impactante com Palavra-chave):
- H2 (Subtítulo Complementar):
- Imagem ou Vídeo de Impacto: (sugestão visual apenas)
- CTA Primário: (Ex: Quero Testar, Fale com u"&amp;"m Especialista)
2. BLOCO DE PROVA SOCIAL
- Depoimento real ou simulado:
- Selos, avaliações, estrelas ou logos de clientes (se fizer sentido)
3. BLOCO DE DOR + ALÍVIO
- Lista de dores/frustrações (bullets curtos):
- Texto de conexão emocional:
- Frase d"&amp;"e transição para solução:
4. BLOCO DE BENEFÍCIOS
- 3 a 6 bullets com:
  • Título curto
  • Descrição objetiva do benefício (não da função)
5. BLOCO DE OFERTA / PRODUTO
- Nome do produto/serviço:
- Diferenciais claros (bullet ou frase curta):
- Comparati"&amp;"vo ou contraste (se relevante):
- Preço, condição ou vantagem específica (se aplicável):
6. BLOCO DE AUTORIDADE / GARANTIA
- Breve institucional sobre a empresa:
- Garantia, selo ou segurança percebida:
7. BLOCO DE CTA REFORÇADO
- Repetição do CTA:
- Fr"&amp;"ase de urgência ou escassez:
- Mini FAQ (3 a 5 perguntas frequentes com respostas curtas):
8. RODAPÉ
- Políticas e termos:
- Contatos e links úteis:
Importante: Adapte o tom conforme o modelo de negócio:
- Se POSICIONAMENTO!D3 = “B2C”, foco emocional e "&amp;"direto.
- Se POSICIONAMENTO!D3 = “B2B”, foco racional e ganho operacional/financeiro.
AVISO:
- Em cada bloco que você gerar precisa ficar bem claro o que é um H1, H2, H3, Textos, CTA ...
Quando terminar de ler tudo acima, diga:
“Entendi perfeitamente. A"&amp;"gora me diga o objetivo principal da landing page (lead, venda, cadastro) e se deseja uma abordagem mais emocional ou racional.”
Quando finalizar a copy de uma lp, diga:
“Me diga o que você prefere agora: 1 - Melhorar a Landing Page Atual 2 - Desenvolver"&amp;" melhor e trazer mais texto 3 - Estou Satisfeito”
"
</f>
        <v>Você tem a tarefa de criar uma Landing Page de alta conversão para o seguinte cenário:
INFORMAÇÕES GERAIS
O cliente é MINA PIZZA, que atende na região São Vicente - SP , com modelo de negócio Negócio Local (loja física, restaurante, clínica etc.). 
O produto ou serviço principal é: Pizzas, Marmitas, Pastéis e Refeições Delivery. 
Este mês: Não Temos Sazonalidade
O público-alvo é: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Essa persona está em busca de: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Ela enfrenta o desafio de: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Dores principais: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Precisa de: Mais do que alimentação, esse cliente precisa de previsibilidade.
Ele deseja encontrar facilmente a empresa no Google, visualizar o cardápio atualizado, receber atendimento rápido pelo WhatsApp, ter informações claras sobre preços e opções disponíveis e concluir o pedido sem esforço.
Também existe uma necessidade crescente de relacionamento. O público valoriza sentir que é reconhecido, lembrado e respeitado durante o atendimento, aspecto discutido na aplicação da metodologia Jobs to Be Done durante a consultoria.
Deseja alcançar: O cliente deseja manter a confiança construída ao longo dos anos, mas espera perceber evolução na empresa.
Ele quer continuar comprando na Mina Pizza sabendo que encontrará uma operação mais moderna, organizada e eficiente, sem perder a tradição que o fez se tornar cliente.
Também busca praticidade para repetir pedidos, receber novidades, promoções e cardápios sem precisar procurar informações em diversos canais.
Essa combinação entre tradição e modernização foi definida como o posicionamento estratégico de "tradição redescoberta" nas reuniões de diagnóstico.
A linguagem dessa pessoa é: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O tom da marca é: Próximo, acolhedor e tradicional
Tipo de linguagem a ser usada: Simples e objetiva, com linguagem regional e foco em confiança e tradição
Sensação que queremos causar: Que encontrou um restaurante de confiança, com tradição, atendimento próximo e comida de qualidade para compartilhar com a família sem preocupação.
A palavra-chave central da comunicação deve ser: "Pizza Delivery São Vicente"
SUA RESPOSTA DEVE RESPEITAR A ESTRUTURA A SEGUIR:
1. HERO (Acima da Dobra)
- H1 (Título Impactante com Palavra-chave):
- H2 (Subtítulo Complementar):
- Imagem ou Vídeo de Impacto: (sugestão visual apenas)
- CTA Primário: (Ex: Quero Testar, Fale com um Especialista)
2. BLOCO DE PROVA SOCIAL
- Depoimento real ou simulado:
- Selos, avaliações, estrelas ou logos de clientes (se fizer sentido)
3. BLOCO DE DOR + ALÍVIO
- Lista de dores/frustrações (bullets curtos):
- Texto de conexão emocional:
- Frase de transição para solução:
4. BLOCO DE BENEFÍCIOS
- 3 a 6 bullets com:
  • Título curto
  • Descrição objetiva do benefício (não da função)
5. BLOCO DE OFERTA / PRODUTO
- Nome do produto/serviço:
- Diferenciais claros (bullet ou frase curta):
- Comparativo ou contraste (se relevante):
- Preço, condição ou vantagem específica (se aplicável):
6. BLOCO DE AUTORIDADE / GARANTIA
- Breve institucional sobre a empresa:
- Garantia, selo ou segurança percebida:
7. BLOCO DE CTA REFORÇADO
- Repetição do CTA:
- Frase de urgência ou escassez:
- Mini FAQ (3 a 5 perguntas frequentes com respostas curtas):
8. RODAPÉ
- Políticas e termos:
- Contatos e links úteis:
Importante: Adapte o tom conforme o modelo de negócio:
- Se POSICIONAMENTO!D3 = “B2C”, foco emocional e direto.
- Se POSICIONAMENTO!D3 = “B2B”, foco racional e ganho operacional/financeiro.
AVISO:
- Em cada bloco que você gerar precisa ficar bem claro o que é um H1, H2, H3, Textos, CTA ...
Quando terminar de ler tudo acima, diga:
“Entendi perfeitamente. Agora me diga o objetivo principal da landing page (lead, venda, cadastro) e se deseja uma abordagem mais emocional ou racional.”
Quando finalizar a copy de uma lp, diga:
“Me diga o que você prefere agora: 1 - Melhorar a Landing Page Atual 2 - Desenvolver melhor e trazer mais texto 3 - Estou Satisfeito”
</v>
      </c>
    </row>
    <row r="8" ht="21.75" customHeight="1">
      <c r="A8" s="8" t="s">
        <v>748</v>
      </c>
      <c r="B8" s="40" t="str">
        <f>"Você tem a tarefa de criar anúncios de Google Ads altamente relevantes, girando em torno da palavra-chave principal: """ &amp; POSICIONAMENTO!G7 &amp; """
Essa palavra-chave é o centro da intenção de busca que queremos capturar.
OBJETIVO:
Criar um conjunto de títulos e descrições que maximize o CTR, a relevância no leilão do Google e a conversão na landing page.
CONTEXTO:
O cliente é " &amp; POSICIONAMENTO!B3 &amp; ", localizado em " &amp; POSICIONAMENTO!C3 &amp; ", com o modelo de negócio " &amp; POSICIONAMENTO!D3 &amp; ", vendendo " &amp; POSICIONAMENTO!F3 &amp; ". Neste mês: " &amp; POSICIONAMENTO!G3 &amp; "
A marca tem um tom " &amp; POSICIONAMENTO!B7 &amp; ", linguagem " &amp; POSICIONAMENTO!C7 &amp; ", e deve provocar a sensação: " &amp; POSICIONAMENTO!D7 &amp; "
Público-alvo: " &amp; 'USE CASE MAP'!B3 &amp; "
Com desafios como: " &amp; 'USE CASE MAP'!D3 &amp; "
E dores como: " &amp; 'USE CASE MAP'!E3 &amp; "
Diferencial: " &amp; 'USE CASE MAP'!F11 &amp; "
Benefícios percebidos: " &amp; 'USE CASE MAP'!G11 &amp; " e " &amp; 'USE CASE MAP'!H11 &amp; "
ENTREGAS ESPERADAS:
1. **15 TÍTULOS de até 30 caracteres**:
- Devem conter ou girar em torno da palavra-chave """ &amp; POSICIONAMENTO!G7 &amp; """"
- Pelo menos 5 devem estar relacionados a palavra-chave diretamente
- Pelo menos 3 devem comunicar quem é ou o que faz a empresa
- Pelo menos 3 devem ressaltar benefícios diretos para o público
- Os demais devem explorar variações úteis, dúvidas comuns"&amp;" ou diferenciais
2. **5 DESCRIÇÕES de até 90 caracteres**
- Complementam os títulos com reforço de benefícios, diferenciais ou prova social
3. **5 LEGENDAS com até 60 caracteres**
- Use combinações de palavras-chave + benefício + solução
Regras:
- Não us"&amp;"ar clichês genéricos.
- Ser claro, direto e relevante.
- Pensar como alguém com intenção ativa de compra ou busca por solução.
Quando finalizar de ler tudo acima diga:
Entendi a palavra-chave central e o contexto do cliente. Tem mais alguma palavra chave"&amp;" ou informação ou eu posso gerar?"</f>
        <v>Você tem a tarefa de criar anúncios de Google Ads altamente relevantes, girando em torno da palavra-chave principal: "Pizza Delivery São Vicente"
Essa palavra-chave é o centro da intenção de busca que queremos capturar.
OBJETIVO:
Criar um conjunto de títulos e descrições que maximize o CTR, a relevância no leilão do Google e a conversão na landing page.
CONTEXTO:
O cliente é MINA PIZZA, localizado em São Vicente - SP , com o modelo de negócio Negócio Local (loja física, restaurante, clínica etc.), vendendo Pizzas, Marmitas, Pastéis e Refeições Delivery. Neste mês: Não Temos Sazonalidade
A marca tem um tom Próximo, acolhedor e tradicional, linguagem Simples e objetiva, com linguagem regional e foco em confiança e tradição, e deve provocar a sensação: Que encontrou um restaurante de confiança, com tradição, atendimento próximo e comida de qualidade para compartilhar com a família sem preocupação.
Público-alvo: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Com desafios como: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E dores como: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Diferencial: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Benefícios percebidos: Os benefícios percebidos imediatamente pelo cliente são práticos e facilmente mensuráveis.
Ele consegue encontrar a empresa com facilidade, visualizar informações atualizadas, acessar um cardápio organizado, realizar o pedido sem esforço e receber um atendimento mais rápido e cordial.
Essas melhorias reduzem o tempo entre a intenção de compra e a conclusão do pedido, diminuem a insegurança durante a escolha e aumentam a satisfação logo na primeira experiência.
Do ponto de vista emocional, o cliente sente tranquilidade ao perceber que está comprando de uma empresa organizada, acessível e preparada para atendê-lo.
Grande parte das ações propostas durante a consultoria — implementação do WhatsApp Business, padronização do atendimento, atualização do Google Meu Negócio e organização da presença digital — foi planejada justamente para gerar esse ganho imediato. e A transformação mais importante acontece ao longo do relacionamento.
O cliente passa a enxergar a Mina Pizza não apenas como um restaurante tradicional, mas como a primeira opção quando pensa em refeições práticas e confiáveis na região.
Essa percepção fortalece a fidelização, aumenta a frequência de compra e estimula recomendações espontâneas para familiares e amigos, reduzindo a necessidade de depender exclusivamente de promoções ou mídia paga para gerar vendas.
Para a empresa, isso representa uma base de clientes mais sólida, maior previsibilidade de receita e crescimento sustentado por reputação, relacionamento e recorrência.
Esse objetivo está diretamente alinhado à estratégia definida nas reuniões: fortalecer canais próprios, aumentar a retenção da base atual e utilizar a tradição da marca como principal ativo competitivo, apoiado por uma operação digital mais eficiente.
ENTREGAS ESPERADAS:
1. **15 TÍTULOS de até 30 caracteres**:
- Devem conter ou girar em torno da palavra-chave "Pizza Delivery São Vicente"
- Pelo menos 5 devem estar relacionados a palavra-chave diretamente
- Pelo menos 3 devem comunicar quem é ou o que faz a empresa
- Pelo menos 3 devem ressaltar benefícios diretos para o público
- Os demais devem explorar variações úteis, dúvidas comuns ou diferenciais
2. **5 DESCRIÇÕES de até 90 caracteres**
- Complementam os títulos com reforço de benefícios, diferenciais ou prova social
3. **5 LEGENDAS com até 60 caracteres**
- Use combinações de palavras-chave + benefício + solução
Regras:
- Não usar clichês genéricos.
- Ser claro, direto e relevante.
- Pensar como alguém com intenção ativa de compra ou busca por solução.
Quando finalizar de ler tudo acima diga:
Entendi a palavra-chave central e o contexto do cliente. Tem mais alguma palavra chave ou informação ou eu posso gerar?</v>
      </c>
    </row>
    <row r="9" ht="21.75" customHeight="1">
      <c r="A9" s="8" t="s">
        <v>749</v>
      </c>
      <c r="B9" s="40" t="str">
        <f>"Você é um especialista em linguagem estratégica, com domínio sobre as abordagens funcionalista, sociolinguística, semiótica, cognitiva e estratégica. 
Sua tarefa é gerar orientações práticas de comunicação para a empresa " &amp; POSICIONAMENTO!B3 &amp; " no modelo de negócio " &amp; POSICIONAMENTO!D3 &amp; " do setor " &amp; POSICIONAMENTO!E3 &amp; ", que oferece o produto/serviço " &amp; POSICIONAMENTO!F3 &amp; ". Público-alvo principal: " &amp; 'USE CASE MAP'!B3 &amp; " Motivadores: " &amp; 'USE CASE MAP'!C3 &amp; " Barreiras principais: " &amp; 'USE CASE MAP'!D3 &amp; ", " &amp; 'USE CASE MAP'!E3 &amp; ", " &amp; 'USE CASE MAP'!F7 &amp; ", " &amp; 'USE CASE MAP'!G19 &amp; " Alternativas comuns: " &amp; 'USE CASE MAP'!B11 &amp; ", " &amp; 'USE CASE MAP'!C11 &amp; ", " &amp; 'USE CASE MAP'!D11 &amp; " Gatilho de decisão: " &amp; 'USE CASE MAP'!E11 &amp; " Benefícios desejados: " &amp; 'USE CASE MAP'!G11 &amp; ", " &amp; 'USE CASE MAP'!H11 &amp; ", " &amp; 'USE CASE MAP'!E15 &amp; ", " &amp; 'USE CASE MAP'!F15 &amp; " Comunicação ideal: " &amp; 'USE CASE MAP'!H3 &amp; ", " &amp; 'USE CASE MAP'!G15 &amp; ", " &amp; POSICIONAMENTO!D7 &amp; " Tom de voz: " &amp; POSICIONAMENTO!B7 &amp; " — Nível: " &amp; POSICIONAMENTO!C7 &amp; " Expressões e palavras-chave obrigatórias: " &amp; POSICIONAMENTO!F7 &amp; ", " &amp; POSICIONAMENTO!G7 &amp; " Problema central: " &amp; 'USE CASE MAP'!B7 &amp; ", " &amp; 'USE CASE MAP'!C7 &amp; ", " &amp; 'USE CASE MAP'!D7 &amp; ", " &amp; 'USE CASE MAP'!E7 &amp; " Diferenciais da marca: " &amp; 'USE CASE MAP'!B15 &amp; ", " &amp; 'USE CASE MAP'!C15 &amp; ", " &amp; 'USE CASE MAP'!D15 &amp; ", " &amp; 'USE CASE MAP'!F11 &amp; " Intensidade e urgência: " &amp; 'USE CASE MAP'!B19 &amp; ", " &amp; 'USE CASE MAP'!C19 &amp; ", " &amp; 'USE CASE MAP'!D19 &amp; ", " &amp; 'USE CASE MAP'!E19 &amp; " Riscos e objeções: " &amp; 'USE CASE MAP'!H19 &amp; ", " &amp; 'USE CASE MAP'!I19 &amp; ", " &amp; 'USE CASE MAP'!F19 &amp; ", " &amp; 'USE CASE MAP'!G19 &amp; " Nome do cliente: " &amp; POSICIONAMENTO!B3 &amp; ". Gere as instruções separadas por perspectiva, sendo: 1. Funcionalista — Qual a função principal da linguagem? Como provocar comportamento? 2. Sociolinguística — Como adequar à cultura, região e classe do público? 3. Semiótica — Quais símbolos, metáforas"&amp;" e imagens evocativas devem ser usados? 4. Cognitiva — Que modelos mentais, estruturas e atalhos de decisão devemos acionar? 5. Estratégica — Como alinhar a linguagem com objetivos de autoridade, urgência e conversão?"
</f>
        <v>Você é um especialista em linguagem estratégica, com domínio sobre as abordagens funcionalista, sociolinguística, semiótica, cognitiva e estratégica. 
Sua tarefa é gerar orientações práticas de comunicação para a empresa MINA PIZZA no modelo de negócio Negócio Local (loja física, restaurante, clínica etc.) do setor Alimentação, que oferece o produto/serviço Pizzas, Marmitas, Pastéis e Refeições Delivery. Público-alvo principal: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Motivadores: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Barreiras principais: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Diária
O problema aparece todos os dias.
Todos os dias consumidores pesquisam restaurantes no Google, avaliam comentários, comparam cardápios, escolhem canais de atendimento e decidem onde realizar seus pedidos.
Da mesma forma, clientes antigos avaliam continuamente a experiência oferecida pela empresa.
Cada pedido representa uma nova oportunidade de fortalecer ou enfraquecer a confiança construída ao longo de décadas.
Foi justamente por isso que a consultoria priorizou ações permanentes como:
responder avaliações;
atualizar informações da empresa;
manter presença ativa nas redes sociais;
fortalecer o WhatsApp Business;
padronizar o atendimento. Alternativas comuns: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 Gatilho de decisão: O cliente não acorda querendo comprar uma pizza ou uma marmita; ele busca resolver uma situação específica do seu dia.
Durante a semana, o gatilho mais comum é a falta de tempo. Depois de um dia de trabalho, ele quer uma refeição pronta, saborosa e confiável, sem precisar cozinhar ou perder tempo escolhendo entre dezenas de opções. No horário do almoço, procura uma comida que transmita a sensação de refeição caseira, com rapidez e bom custo-benefício.
Nos finais de semana, o gatilho muda. A pizza representa um momento de convivência: reunir a família, receber amigos ou simplesmente transformar uma noite comum em uma ocasião agradável. Nesses momentos, o cliente evita correr riscos escolhendo um restaurante desconhecido e tende a recorrer a marcas que já fazem parte da sua história.
Outro gatilho importante identificado nas reuniões é a busca por praticidade. Quando o consumidor encontra facilmente o restaurante no Google, acessa um cardápio organizado, faz o pedido rapidamente pelo WhatsApp e recebe um atendimento cordial, a decisão de compra se torna quase automática. Benefícios desejados: Os benefícios percebidos imediatamente pelo cliente são práticos e facilmente mensuráveis.
Ele consegue encontrar a empresa com facilidade, visualizar informações atualizadas, acessar um cardápio organizado, realizar o pedido sem esforço e receber um atendimento mais rápido e cordial.
Essas melhorias reduzem o tempo entre a intenção de compra e a conclusão do pedido, diminuem a insegurança durante a escolha e aumentam a satisfação logo na primeira experiência.
Do ponto de vista emocional, o cliente sente tranquilidade ao perceber que está comprando de uma empresa organizada, acessível e preparada para atendê-lo.
Grande parte das ações propostas durante a consultoria — implementação do WhatsApp Business, padronização do atendimento, atualização do Google Meu Negócio e organização da presença digital — foi planejada justamente para gerar esse ganho imediato., A transformação mais importante acontece ao longo do relacionamento.
O cliente passa a enxergar a Mina Pizza não apenas como um restaurante tradicional, mas como a primeira opção quando pensa em refeições práticas e confiáveis na região.
Essa percepção fortalece a fidelização, aumenta a frequência de compra e estimula recomendações espontâneas para familiares e amigos, reduzindo a necessidade de depender exclusivamente de promoções ou mídia paga para gerar vendas.
Para a empresa, isso representa uma base de clientes mais sólida, maior previsibilidade de receita e crescimento sustentado por reputação, relacionamento e recorrência.
Esse objetivo está diretamente alinhado à estratégia definida nas reuniões: fortalecer canais próprios, aumentar a retenção da base atual e utilizar a tradição da marca como principal ativo competitivo, apoiado por uma operação digital mais eficiente.,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Comunicação ideal: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Nível de consciência: Médio
O cliente já sabe que precisa de uma refeição prática e conhece boa parte das alternativas disponíveis.
Ele também reconhece a Mina Pizza como uma marca tradicional.
No entanto, ainda não percebe completamente a transformação que a empresa está realizando nem os novos diferenciais relacionados à experiência digital, às marmitas, ao atendimento e à facilidade de compra.
Por isso, a comunicação deve demonstrar continuamente que a tradição permanece, mas a experiência evoluiu. O posicionamento de "tradição redescoberta" definido durante a consultoria atende exatamente a esse objetivo: reduzir a distância entre a imagem histórica da marca e a experiência moderna que se deseja oferecer., Que encontrou um restaurante de confiança, com tradição, atendimento próximo e comida de qualidade para compartilhar com a família sem preocupação. Tom de voz: Próximo, acolhedor e tradicional — Nível: Simples e objetiva, com linguagem regional e foco em confiança e tradição Expressões e palavras-chave obrigatórias: "O sabor que faz parte da história de São Vicente." • "Pizza boa é aquela que reúne a família." • "Tradição que continua na sua mesa." • "Peça pelo WhatsApp de forma rápida e fácil." • "Almoço caseiro, pizza de verdade e atendimento de quem conhece você.", Pizza Delivery São Vicente Problema central: A Mina Pizza possui uma marca tradicional e reconhecida localmente, porém sua operação digital e parte da experiência de atendimento ainda não acompanham as expectativas atuais do consumidor.
Isso gera um cenário em que novos clientes encontram barreiras para conhecer a empresa, enquanto clientes antigos percebem inconsistências que podem comprometer sua fidelidade. O problema deixa de ser apenas operacional e passa a impactar diretamente o crescimento do negócio.
O diagnóstico também mostrou baixa maturidade digital, com deficiência na gestão do Google Meu Negócio, ausência de campanhas estruturadas, pouca constância nas redes sociais e dependência elevada de plataformas terceiras., Durante muitos anos, a Mina Pizza construiu sua clientela principalmente pela localização, tradição e indicação.
Esse modelo foi suficiente enquanto o comportamento de compra era predominantemente presencial ou telefônico. Entretanto, o mercado mudou.
Hoje, antes de escolher um restaurante, o consumidor pesquisa no Google, compara avaliações, consulta fotos, verifica horários, busca facilidade para pedir e espera respostas rápidas pelos canais digitais.
Nas reuniões foi constatado que existiam problemas como localização incorreta no Google, avaliações sem resposta, Instagram desatualizado, inconsistências de identidade da marca e limitações na apresentação do cardápio digital. Esses fatores reduzem a confiança de novos consumidores antes mesmo do primeiro pedido.
Ao mesmo tempo, concorrentes investem continuamente em Google Ads, Meta Ads, presença digital e conteúdos visuais, aumentando sua vantagem competitiva., 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 A dor percebida pelo cliente não costuma ser verbalizada em termos técnicos. Ela aparece em comentários simples que refletem frustração durante a jornada de compra.
Expressões compatíveis com o cenário identificado nas reuniões incluem:
"Não consegui falar com ninguém."
"Demoraram para atender."
"Não achei o cardápio."
"Não sabia quanto custava."
"Achei que tinham fechado."
"No iFood foi mais fácil pedir."
"Quem me atendeu parecia sem paciência."
O teste de cliente oculto confirmou dificuldades como espera elevada, falta de informações sobre produtos, conversas paralelas durante o atendimento telefônico e tom de voz considerado ríspido, reforçando críticas já presentes nas avaliações online. Diferenciais da marca: "A tradição de São Vicente, agora com uma experiência de pedido simples, rápida e confiável para quem quer pizzas, marmitas e refeições de qualidade sem abrir mão da confiança construída ao longo de décadas."
Essa proposta reúne os principais diferenciais identificados nas reuniões:
tradição comprovada;
reconhecimento local;
variedade de refeições para diferentes momentos de consumo;
modernização da jornada de compra;
foco na confiança e na recorrência.
Ela evita competir apenas por preço e posiciona a Mina Pizza como uma marca que oferece segurança, praticidade e continuidade., O cliente deseja uma refeição de qualidade, mas encontra dificuldades para identificar rapidamente um restaurante que reúna confiança, praticidade e uma boa experiência de atendimento.
Embora a Mina Pizza já possua credibilidade construída ao longo dos anos, sua presença digital, seus canais de atendimento e parte da experiência operacional ainda não refletem plenamente essa reputação.
Isso faz com que novos consumidores encontrem concorrentes com mais facilidade, enquanto clientes antigos percebam atritos que reduzem a frequência de compra.
Esse diagnóstico foi recorrente ao longo das reuniões, especialmente em relação ao Google Meu Negócio, atendimento telefônico, gestão das avaliações e canais digitais., A proposta da Mina Pizza reduz o esforço necessário para decidir e realizar um pedido.
O cliente encontra facilmente a empresa no Google, acessa um cardápio organizado, escolhe entre pizza, marmitas ou pastéis conforme sua necessidade, realiza o pedido por um canal simples — preferencialmente o WhatsApp — e recebe um atendimento mais padronizado e acolhedor.
Ao mesmo tempo, a tradição da marca reduz a insegurança comum ao experimentar um restaurante desconhecido. O cliente sente que está comprando de uma empresa consolidada, que faz parte da história da cidade e que agora entrega uma experiência compatível com os padrões atuais.
As ações recomendadas na consultoria, como implantação do WhatsApp Business, organização do Google Meu Negócio, protocolo de atendimento e fortalecimento da reputação online, foram justamente planejadas para eliminar esses pontos de atrito.,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Intensidade e urgência: Alta
O cliente não sonha, necessariamente, em comprar uma pizza. O sonho é mais profundo: ele deseja ter uma refeição saborosa, prática e confiável para compartilhar com quem gosta, sem preocupação com qualidade, atraso ou atendimento.
Esse desejo está presente de forma recorrente na rotina do público identificado durante a consultoria. A Mina Pizza atende tanto momentos cotidianos (almoço e jantar) quanto ocasiões especiais (encontros familiares e finais de semana), ampliando a relevância da marca na vida do consumidor.
Além disso, existe um componente emocional importante: muitos clientes cresceram consumindo a marca e desejam continuar vivendo essa experiência com a mesma confiança de antes, agora aliada a uma operação mais moderna., Alta
A proposta apresenta elevada probabilidade de sucesso porque não depende da criação de um novo hábito de consumo. Ela fortalece um comportamento que já existe.
Durante o diagnóstico, verificou-se que a Mina Pizza possui ativos competitivos difíceis de replicar:
marca consolidada há décadas;
reconhecimento regional;
clientes recorrentes;
boa avaliação no iFood;
estrutura operacional capaz de atender diferentes categorias de produtos.
Os principais desafios identificados não estão relacionados ao produto, mas à execução: organização dos canais digitais, padronização do atendimento, gestão da reputação online e fortalecimento dos canais próprios. Essas ações foram priorizadas justamente por serem de alto impacto e relativamente baixo esforço.
Como a empresa já possui confiança do mercado, a modernização da experiência tende a potencializar esse patrimônio em vez de exigir uma mudança completa de posicionamento., Curto Prazo
Parte dos resultados pode ser percebida rapidamente após a implementação das melhorias recomendadas.
Entre eles:
aumento da facilidade para encontrar a empresa;
melhora da percepção da marca;
crescimento do contato via WhatsApp;
aumento da taxa de conversão;
redução do atrito durante o pedido.
Já resultados como fortalecimento da fidelização, aumento da recorrência, crescimento do ticket médio e redução da dependência do iFood exigem continuidade e disciplina operacional, mas começam a ser construídos desde as primeiras mudanças.
Essa lógica foi refletida no plano de ação definido nas reuniões, que priorizou intervenções de baixo esforço e alto impacto antes da expansão dos investimentos em mídia., Normal
Para o cliente, o esforço tende a ser mínimo: a jornada fica mais simples, com acesso facilitado às informações e canais de atendimento.
Para a empresa, entretanto, será necessário manter disciplina na execução das rotinas definidas durante a consultoria, como:
responder avaliações no Google e no iFood;
atualizar continuamente o Google Meu Negócio;
manter o Instagram ativo;
utilizar o WhatsApp Business como canal principal;
padronizar o atendimento;
fortalecer campanhas de mídia baseadas em prova social;
acompanhar indicadores de conversão e retenção.
Essas ações não exigem mudanças estruturais profundas, mas requerem consistência. O sucesso dependerá mais da qualidade da execução do que da complexidade das iniciativas. Riscos e objeções: Baixo para o cliente | Moderado para a empresa
Para o cliente
Adotar a nova experiência praticamente não exige esforço.
Ele continua comprando da mesma marca que conhece, apenas utilizando canais mais simples e eficientes.
Não precisa aprender um novo serviço nem alterar seus hábitos de consumo.
Para a empresa
O investimento está concentrado em execução e organização.
As mudanças identificadas durante a consultoria envolvem principalmente:
gestão contínua da reputação online;
organização dos canais digitais;
atualização das informações institucionais;
treinamento da equipe de atendimento;
produção recorrente de conteúdo;
utilização consistente do WhatsApp Business;
acompanhamento de indicadores.
Essas iniciativas demandam disciplina operacional mais do que grandes investimentos financeiros.
, Muito Alto
Este é o ponto mais crítico identificado durante o diagnóstico.
Caso a Mina Pizza mantenha o modelo atual, os riscos tendem a aumentar progressivamente.
No curto prazo:
perda de novos clientes para concorrentes mais organizados digitalmente;
dificuldade para converter pesquisas em vendas;
continuidade das avaliações sem resposta;
dependência crescente do iFood.
No médio prazo:
redução da frequência de compra dos clientes tradicionais;
aumento do custo de aquisição de clientes;
necessidade crescente de promoções para competir.
No longo prazo:
enfraquecimento gradual da marca perante novas gerações;
perda do patrimônio construído ao longo de décadas;
redução da competitividade regional.
Esses riscos foram amplamente discutidos durante as reuniões, especialmente em relação à dependência de plataformas, à reputação digital e à necessidade de fortalecer canais próprios antes de ampliar investimentos em mídia paga., Alta
O impacto da proposta da Mina Pizza vai além da venda de refeições. Ela transforma a forma como o cliente se relaciona com a marca.
Ao modernizar sua presença digital, organizar seus canais de atendimento e fortalecer a experiência de compra, a empresa reduz atritos que hoje comprometem tanto a aquisição de novos consumidores quanto a retenção da base fiel.
Para o cliente, isso significa encontrar uma empresa conhecida, confiável e muito mais fácil de acessar.
Para o negócio, significa converter décadas de reputação em crescimento sustentável.
As reuniões mostraram que a empresa já possui ativos relevantes — tradição, reconhecimento regional, boa avaliação no iFood e um público fiel —, mas ainda não captura todo esse valor por limitações na operação digital., Diária
O problema aparece todos os dias.
Todos os dias consumidores pesquisam restaurantes no Google, avaliam comentários, comparam cardápios, escolhem canais de atendimento e decidem onde realizar seus pedidos.
Da mesma forma, clientes antigos avaliam continuamente a experiência oferecida pela empresa.
Cada pedido representa uma nova oportunidade de fortalecer ou enfraquecer a confiança construída ao longo de décadas.
Foi justamente por isso que a consultoria priorizou ações permanentes como:
responder avaliações;
atualizar informações da empresa;
manter presença ativa nas redes sociais;
fortalecer o WhatsApp Business;
padronizar o atendimento. Nome do cliente: MINA PIZZA. Gere as instruções separadas por perspectiva, sendo: 1. Funcionalista — Qual a função principal da linguagem? Como provocar comportamento? 2. Sociolinguística — Como adequar à cultura, região e classe do público? 3. Semiótica — Quais símbolos, metáforas e imagens evocativas devem ser usados? 4. Cognitiva — Que modelos mentais, estruturas e atalhos de decisão devemos acionar? 5. Estratégica — Como alinhar a linguagem com objetivos de autoridade, urgência e conversão?</v>
      </c>
    </row>
    <row r="10" ht="21.75" customHeight="1">
      <c r="A10" s="8" t="s">
        <v>750</v>
      </c>
      <c r="B10" s="40" t="str">
        <f>"Você é um especialista em linguagem de marcas e copywriting estratégico.
Sua tarefa é definir a linguagem ideal para a marca " &amp; POSICIONAMENTO!B3 &amp; ", que atua no setor de " &amp; POSICIONAMENTO!E3 &amp; ", com o modelo de negócio " &amp; POSICIONAMENTO!D3 &amp; " e oferece o produto/serviço " &amp; POSICIONAMENTO!F3 &amp; ".
Essa linguagem será usada em redes sociais, sites, e-mails, campanhas e materiais comerciais.
A comunicação deve considerar:
• O público principal: " &amp; 'USE CASE MAP'!B3 &amp; "  
• Seus motivadores: " &amp; 'USE CASE MAP'!C3 &amp; "  
• Suas dores e desafios: " &amp; 'USE CASE MAP'!E3 &amp; ", " &amp; 'USE CASE MAP'!D3 &amp; ", " &amp; 'USE CASE MAP'!F7 &amp; "  
• O sentimento que queremos causar com os conteúdos: " &amp; POSICIONAMENTO!D7 &amp; "  
• O tom desejado: " &amp; POSICIONAMENTO!B7 &amp; "  
• O nível de linguagem: " &amp; POSICIONAMENTO!C7 &amp; "  
• As expressões que devem aparecer: " &amp; POSICIONAMENTO!F7 &amp; "  
• As palavras-chave estratégicas: " &amp; POSICIONAMENTO!G7 &amp; "  
• O diferencial da marca: " &amp; 'USE CASE MAP'!F11 &amp; "  
• O que o público mais quer alcançar: " &amp; 'USE CASE MAP'!E15 &amp; ", " &amp; 'USE CASE MAP'!F15 &amp; "  
• O que ele teme perder ou sofrer: " &amp; 'USE CASE MAP'!H19 &amp; ", " &amp; 'USE CASE MAP'!I19 &amp; "  
Com base nisso, defina:
1. Tom e voz da marca (com analogias e comparações simbólicas)
2. Palavras que **devem ser usadas** com frequência
3. Palavras que **devem ser evitadas**
4. Emoções e sensações que a linguagem deve provocar
5. Estilo de escrit"&amp;"a (ritmo, estrutura, tipo de vocabulário)
6. Gatilhos linguísticos prioritários para ativar ação
Escreva de forma prática e didática. A ideia é que qualquer pessoa possa usar esse documento como um guia real de escrita da marca."
</f>
        <v>Você é um especialista em linguagem de marcas e copywriting estratégico.
Sua tarefa é definir a linguagem ideal para a marca MINA PIZZA, que atua no setor de Alimentação, com o modelo de negócio Negócio Local (loja física, restaurante, clínica etc.) e oferece o produto/serviço Pizzas, Marmitas, Pastéis e Refeições Delivery.
Essa linguagem será usada em redes sociais, sites, e-mails, campanhas e materiais comerciais.
A comunicação deve considerar:
• O público principal: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 Seus motivadores: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 Suas dores e desafios: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 O sentimento que queremos causar com os conteúdos: Que encontrou um restaurante de confiança, com tradição, atendimento próximo e comida de qualidade para compartilhar com a família sem preocupação.  
• O tom desejado: Próximo, acolhedor e tradicional  
• O nível de linguagem: Simples e objetiva, com linguagem regional e foco em confiança e tradição  
• As expressões que devem aparecer: "O sabor que faz parte da história de São Vicente." • "Pizza boa é aquela que reúne a família." • "Tradição que continua na sua mesa." • "Peça pelo WhatsApp de forma rápida e fácil." • "Almoço caseiro, pizza de verdade e atendimento de quem conhece você."  
• As palavras-chave estratégicas: Pizza Delivery São Vicente  
• O diferencial da marca: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 O que o público mais quer alcançar: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 O que ele teme perder ou sofrer: Baixo para o cliente | Moderado para a empresa
Para o cliente
Adotar a nova experiência praticamente não exige esforço.
Ele continua comprando da mesma marca que conhece, apenas utilizando canais mais simples e eficientes.
Não precisa aprender um novo serviço nem alterar seus hábitos de consumo.
Para a empresa
O investimento está concentrado em execução e organização.
As mudanças identificadas durante a consultoria envolvem principalmente:
gestão contínua da reputação online;
organização dos canais digitais;
atualização das informações institucionais;
treinamento da equipe de atendimento;
produção recorrente de conteúdo;
utilização consistente do WhatsApp Business;
acompanhamento de indicadores.
Essas iniciativas demandam disciplina operacional mais do que grandes investimentos financeiros.
, Muito Alto
Este é o ponto mais crítico identificado durante o diagnóstico.
Caso a Mina Pizza mantenha o modelo atual, os riscos tendem a aumentar progressivamente.
No curto prazo:
perda de novos clientes para concorrentes mais organizados digitalmente;
dificuldade para converter pesquisas em vendas;
continuidade das avaliações sem resposta;
dependência crescente do iFood.
No médio prazo:
redução da frequência de compra dos clientes tradicionais;
aumento do custo de aquisição de clientes;
necessidade crescente de promoções para competir.
No longo prazo:
enfraquecimento gradual da marca perante novas gerações;
perda do patrimônio construído ao longo de décadas;
redução da competitividade regional.
Esses riscos foram amplamente discutidos durante as reuniões, especialmente em relação à dependência de plataformas, à reputação digital e à necessidade de fortalecer canais próprios antes de ampliar investimentos em mídia paga.  
Com base nisso, defina:
1. Tom e voz da marca (com analogias e comparações simbólicas)
2. Palavras que **devem ser usadas** com frequência
3. Palavras que **devem ser evitadas**
4. Emoções e sensações que a linguagem deve provocar
5. Estilo de escrita (ritmo, estrutura, tipo de vocabulário)
6. Gatilhos linguísticos prioritários para ativar ação
Escreva de forma prática e didática. A ideia é que qualquer pessoa possa usar esse documento como um guia real de escrita da marca.</v>
      </c>
    </row>
    <row r="11" ht="21.75" customHeight="1">
      <c r="A11" s="8" t="s">
        <v>751</v>
      </c>
      <c r="B11" s="40" t="str">
        <f>"Você é um especialista em posicionamento verbal de marcas e criação de guias de voz e tom.
Sua tarefa é definir a **voz fixa da marca " &amp; POSICIONAMENTO!B3 &amp; "** e seus **tons modulares** adaptáveis conforme canal, jornada e objetivo do conteúdo.
Essa marca atua no setor de " &amp; POSICIONAMENTO!E3 &amp; ", com o modelo de negócio " &amp; POSICIONAMENTO!D3 &amp; " e oferece o produto/serviço " &amp; POSICIONAMENTO!F3 &amp; ".
A comunicação deve considerar:
• Público principal: " &amp; 'USE CASE MAP'!B3 &amp; "  
• Desafios e dores: " &amp; 'USE CASE MAP'!D3 &amp; ", " &amp; 'USE CASE MAP'!E3 &amp; ", " &amp; 'USE CASE MAP'!F7 &amp; "  
• Desejos e benefícios esperados: " &amp; 'USE CASE MAP'!E15 &amp; ", " &amp; 'USE CASE MAP'!F15 &amp; "  
• Diferencial da marca: " &amp; 'USE CASE MAP'!F11 &amp; "  
• Sentimento desejado no público: " &amp; POSICIONAMENTO!D7 &amp; "  
• Tom desejado: " &amp; POSICIONAMENTO!B7 &amp; "  
• Nível de linguagem: " &amp; POSICIONAMENTO!C7 &amp; "  
• Expressões e palavras-chave estratégicas: " &amp; POSICIONAMENTO!F7 &amp; ", " &amp; POSICIONAMENTO!G7 &amp; "  
Com base nisso, defina:
1. **Voz fixa da marca**  
– Descreva como se fosse uma pessoa.  
– Liste os pilares inegociáveis da forma como ela se comunica.  
– Diga como ela pensa, sente e fala com o público.  
– Traga analogias (ex: “é como um mentor d"&amp;"ireto, mas empático”).
2. **Tons modulares para os contextos abaixo**:  
– Instagram Reels para atrair desconhecidos  
– Carrossel de educação para seguidores mornos  
– Mensagem de WhatsApp para conversão direta  
– Página de vendas para público em deci"&amp;"são  
– Email de pós-venda para relacionamento  
– Conteúdo institucional sobre a empresa  
– Vídeo de bastidor ou conteúdo lifestyle
Em cada tom, explique:  
• Qual emoção deve prevalecer  
• Qual ritmo e estrutura de linguagem usar  
• Como adaptar sem"&amp;" perder a essência da voz
O resultado deve ser prático, detalhado e com exemplos de frase se possível. Use linguagem simples e aplicável."
</f>
        <v>Você é um especialista em posicionamento verbal de marcas e criação de guias de voz e tom.
Sua tarefa é definir a **voz fixa da marca MINA PIZZA** e seus **tons modulares** adaptáveis conforme canal, jornada e objetivo do conteúdo.
Essa marca atua no setor de Alimentação, com o modelo de negócio Negócio Local (loja física, restaurante, clínica etc.) e oferece o produto/serviço Pizzas, Marmitas, Pastéis e Refeições Delivery.
A comunicação deve considerar:
• Público principal: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 Desafios e dores: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 Desejos e benefícios esperados: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 Diferencial da marca: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 Sentimento desejado no público: Que encontrou um restaurante de confiança, com tradição, atendimento próximo e comida de qualidade para compartilhar com a família sem preocupação.  
• Tom desejado: Próximo, acolhedor e tradicional  
• Nível de linguagem: Simples e objetiva, com linguagem regional e foco em confiança e tradição  
• Expressões e palavras-chave estratégicas: "O sabor que faz parte da história de São Vicente." • "Pizza boa é aquela que reúne a família." • "Tradição que continua na sua mesa." • "Peça pelo WhatsApp de forma rápida e fácil." • "Almoço caseiro, pizza de verdade e atendimento de quem conhece você.", Pizza Delivery São Vicente  
Com base nisso, defina:
1. **Voz fixa da marca**  
– Descreva como se fosse uma pessoa.  
– Liste os pilares inegociáveis da forma como ela se comunica.  
– Diga como ela pensa, sente e fala com o público.  
– Traga analogias (ex: “é como um mentor direto, mas empático”).
2. **Tons modulares para os contextos abaixo**:  
– Instagram Reels para atrair desconhecidos  
– Carrossel de educação para seguidores mornos  
– Mensagem de WhatsApp para conversão direta  
– Página de vendas para público em decisão  
– Email de pós-venda para relacionamento  
– Conteúdo institucional sobre a empresa  
– Vídeo de bastidor ou conteúdo lifestyle
Em cada tom, explique:  
• Qual emoção deve prevalecer  
• Qual ritmo e estrutura de linguagem usar  
• Como adaptar sem perder a essência da voz
O resultado deve ser prático, detalhado e com exemplos de frase se possível. Use linguagem simples e aplicável.</v>
      </c>
    </row>
    <row r="12" ht="21.75" customHeight="1">
      <c r="A12" s="8" t="s">
        <v>752</v>
      </c>
      <c r="B12" s="40" t="str">
        <f>"Você é um estrategista de comunicação omnichannel e tem a tarefa de adaptar a linguagem e abordagem da marca " &amp; POSICIONAMENTO!B3 &amp; " para os principais canais digitais
Garanta que cada mensagem seja eficaz e coerente com o estilo de cada plataforma.
Essa marca atua no setor de " &amp; POSICIONAMENTO!E3 &amp; ", com o modelo de negócio " &amp; POSICIONAMENTO!D3 &amp; " e oferece o produto/serviço " &amp; POSICIONAMENTO!F3 &amp; ".
Leve em consideração:
• Quem é o público: " &amp; 'USE CASE MAP'!B3 &amp; "  
• Como ele se comunica e consome conteúdo: " &amp; 'USE CASE MAP'!H3 &amp; "  
• O sentimento que devemos causar: " &amp; POSICIONAMENTO!D7 &amp; "  
• O tom e nível de linguagem esperados: " &amp; POSICIONAMENTO!B7 &amp; ", " &amp; POSICIONAMENTO!C7 &amp; "  
• Expressões e palavras-chave que devem estar presentes: " &amp; POSICIONAMENTO!F7 &amp; ", " &amp; POSICIONAMENTO!G7 &amp; "  
• Dores e desejos principais: " &amp; 'USE CASE MAP'!E3 &amp; ", " &amp; 'USE CASE MAP'!F15 &amp; "  
• Diferencial competitivo: " &amp; 'USE CASE MAP'!F11 &amp; "
Com base nisso, mostre **como adaptar uma mesma ideia-chave ou mensagem** para os seguintes canais:
1. Instagram Feed (carrossel ou post estático)  
2. Instagram Reels  
3. TikTok  
4. YouTube Shorts  
5. YouTube (vídeo longo)  
6. WhatsApp (mensagem c"&amp;"omercial)  
7. Landing Page  
8. Email Marketing  
9. LinkedIn  
10. Google Ads (search e display)
Para cada canal, entregue:
• Como deve ser o tom e a estrutura do texto  
• O que deve ser enfatizado ou evitado  
• Como começar (primeira frase/gatilho)"&amp;"  
• Como encerrar com CTA  
• Exemplo de versão adaptada
O resultado deve ser altamente prático e orientado a ação."
</f>
        <v>Você é um estrategista de comunicação omnichannel e tem a tarefa de adaptar a linguagem e abordagem da marca MINA PIZZA para os principais canais digitais
Garanta que cada mensagem seja eficaz e coerente com o estilo de cada plataforma.
Essa marca atua no setor de Alimentação, com o modelo de negócio Negócio Local (loja física, restaurante, clínica etc.) e oferece o produto/serviço Pizzas, Marmitas, Pastéis e Refeições Delivery.
Leve em consideração:
• Quem é o público: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 Como ele se comunica e consome conteúdo: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 O sentimento que devemos causar: Que encontrou um restaurante de confiança, com tradição, atendimento próximo e comida de qualidade para compartilhar com a família sem preocupação.  
• O tom e nível de linguagem esperados: Próximo, acolhedor e tradicional, Simples e objetiva, com linguagem regional e foco em confiança e tradição  
• Expressões e palavras-chave que devem estar presentes: "O sabor que faz parte da história de São Vicente." • "Pizza boa é aquela que reúne a família." • "Tradição que continua na sua mesa." • "Peça pelo WhatsApp de forma rápida e fácil." • "Almoço caseiro, pizza de verdade e atendimento de quem conhece você.", Pizza Delivery São Vicente  
• Dores e desejos principais: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 Diferencial competitivo: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Com base nisso, mostre **como adaptar uma mesma ideia-chave ou mensagem** para os seguintes canais:
1. Instagram Feed (carrossel ou post estático)  
2. Instagram Reels  
3. TikTok  
4. YouTube Shorts  
5. YouTube (vídeo longo)  
6. WhatsApp (mensagem comercial)  
7. Landing Page  
8. Email Marketing  
9. LinkedIn  
10. Google Ads (search e display)
Para cada canal, entregue:
• Como deve ser o tom e a estrutura do texto  
• O que deve ser enfatizado ou evitado  
• Como começar (primeira frase/gatilho)  
• Como encerrar com CTA  
• Exemplo de versão adaptada
O resultado deve ser altamente prático e orientado a ação.</v>
      </c>
    </row>
    <row r="13" ht="21.75" customHeight="1">
      <c r="A13" s="43" t="s">
        <v>753</v>
      </c>
      <c r="B13" s="44" t="str">
        <f>"Você é um especialista em escrita de marca e copywriting de identidade.
Sua missão é definir o **Vocabulário e o Estilo de Escrita** ideais para a marca " &amp; POSICIONAMENTO!B3 &amp; ", que atua no setor de " &amp; POSICIONAMENTO!E3 &amp; ", com o modelo de negócio " &amp; POSICIONAMENTO!D3 &amp; " e oferece o produto/serviço " &amp; POSICIONAMENTO!F3 &amp; ".
Essa linguagem precisa ser clara, consistente, persuasiva e memorável, respeitando:
• O público-alvo principal: " &amp; 'USE CASE MAP'!B3 &amp; "  
• Suas dores e desafios: " &amp; 'USE CASE MAP'!E3 &amp; ", " &amp; 'USE CASE MAP'!D3 &amp; ", " &amp; 'USE CASE MAP'!F7 &amp; "  
• Seus desejos e benefícios esperados: " &amp; 'USE CASE MAP'!E15 &amp; ", " &amp; 'USE CASE MAP'!F15 &amp; "  
• O diferencial que queremos fixar: " &amp; 'USE CASE MAP'!F11 &amp; "  
• O sentimento que queremos despertar no público: " &amp; POSICIONAMENTO!D7 &amp; "  
• O tom de voz desejado: " &amp; POSICIONAMENTO!B7 &amp; "  
• O nível de linguagem: " &amp; POSICIONAMENTO!C7 &amp; "  
• As expressões e palavras-chave que devem estar presentes: " &amp; POSICIONAMENTO!F7 &amp; ", " &amp; POSICIONAMENTO!G7 &amp; "
Com base nisso, defina com profundidade:
1. **Vocabulário dominante da marca**  
– Que tipo de palavras, expressões e termos devem aparecer com frequência?  
– Quais palavras comunicam o tom, a promessa e a verdade da marca?
2. **Vocabulário a evitar*"&amp;"*  
– Termos genéricos, clichês ou incompatíveis com o posicionamento ou com a jornada do cliente
3. **Estilo de escrita recomendado**  
– Estrutura dos textos (curtos e diretos? narrativos? persuasivos?)  
– Uso de perguntas, imperativos, metáforas, gan"&amp;"chos, listas, analogias, emojis, etc.  
– Ritmo da escrita (frases curtas? variações longas com pausas estratégicas?)
4. **Gatilhos verbais específicos**  
– Verbos e frases que conectam com a dor  
– Verbos e frases que acionam desejo  
– Verbos e frase"&amp;"s que geram decisão
Dê exemplos reais de frases, estilos e trechos possíveis. Escreva como se estivesse criando o manual da marca."
</f>
        <v>Você é um especialista em escrita de marca e copywriting de identidade.
Sua missão é definir o **Vocabulário e o Estilo de Escrita** ideais para a marca MINA PIZZA, que atua no setor de Alimentação, com o modelo de negócio Negócio Local (loja física, restaurante, clínica etc.) e oferece o produto/serviço Pizzas, Marmitas, Pastéis e Refeições Delivery.
Essa linguagem precisa ser clara, consistente, persuasiva e memorável, respeitando:
• O público-alvo principal: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 Suas dores e desafios: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 Seus desejos e benefícios esperados: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 O diferencial que queremos fixar: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 O sentimento que queremos despertar no público: Que encontrou um restaurante de confiança, com tradição, atendimento próximo e comida de qualidade para compartilhar com a família sem preocupação.  
• O tom de voz desejado: Próximo, acolhedor e tradicional  
• O nível de linguagem: Simples e objetiva, com linguagem regional e foco em confiança e tradição  
• As expressões e palavras-chave que devem estar presentes: "O sabor que faz parte da história de São Vicente." • "Pizza boa é aquela que reúne a família." • "Tradição que continua na sua mesa." • "Peça pelo WhatsApp de forma rápida e fácil." • "Almoço caseiro, pizza de verdade e atendimento de quem conhece você.", Pizza Delivery São Vicente
Com base nisso, defina com profundidade:
1. **Vocabulário dominante da marca**  
– Que tipo de palavras, expressões e termos devem aparecer com frequência?  
– Quais palavras comunicam o tom, a promessa e a verdade da marca?
2. **Vocabulário a evitar**  
– Termos genéricos, clichês ou incompatíveis com o posicionamento ou com a jornada do cliente
3. **Estilo de escrita recomendado**  
– Estrutura dos textos (curtos e diretos? narrativos? persuasivos?)  
– Uso de perguntas, imperativos, metáforas, ganchos, listas, analogias, emojis, etc.  
– Ritmo da escrita (frases curtas? variações longas com pausas estratégicas?)
4. **Gatilhos verbais específicos**  
– Verbos e frases que conectam com a dor  
– Verbos e frases que acionam desejo  
– Verbos e frases que geram decisão
Dê exemplos reais de frases, estilos e trechos possíveis. Escreva como se estivesse criando o manual da marca.</v>
      </c>
    </row>
    <row r="14" ht="21.75" customHeight="1">
      <c r="A14" s="43" t="s">
        <v>754</v>
      </c>
      <c r="B14" s="44" t="str">
        <f>"Você é um especialista em comportamento do consumidor com base na teoria de Philip Kotler.
Sua missão é analisar a forma como o público da marca " &amp; POSICIONAMENTO!B3 &amp; " se comporta no momento da compra, e enquadrar esse comportamento dentro de um dos quatro tipos descritos por Kotler:
1. Complexo  
2. Redutor de Dissonância (Dissonante)  
3. Habitual  
4. Busca Variada (Variável)
Essa análise deve ser feita com base n"&amp;"os seguintes dados:
• Modelo de negócio: " &amp; POSICIONAMENTO!D3 &amp; "  
• Produto/serviço oferecido: " &amp; POSICIONAMENTO!F3 &amp; "  
• Setor: " &amp; POSICIONAMENTO!E3 &amp; "  
• Público-alvo principal: " &amp; 'USE CASE MAP'!B3 &amp; "  
• Suas dores e desafios: " &amp; 'USE CASE MAP'!E3 &amp; ", " &amp; 'USE CASE MAP'!D3 &amp; "  
• Seus desejos e benefícios esperados: " &amp; 'USE CASE MAP'!E15 &amp; ", " &amp; 'USE CASE MAP'!F15 &amp; "  
• Como ele lida hoje com o problema: " &amp; 'USE CASE MAP'!D7 &amp; "  
• Alternativas cogitadas: " &amp; 'USE CASE MAP'!B11 &amp; ", " &amp; 'USE CASE MAP'!C11 &amp; ", " &amp; 'USE CASE MAP'!D11 &amp; "  
• Nível de consciência: " &amp; 'USE CASE MAP'!G15 &amp; "  
• Intensidade do sonho: " &amp; 'USE CASE MAP'!B19 &amp; "  
• Riscos percebidos: " &amp; 'USE CASE MAP'!H19 &amp; ", " &amp; 'USE CASE MAP'!I19 &amp; "
Com base nessas informações:
1. Escolha qual dos quatro comportamentos define melhor esse público.  
2. Justifique de forma detalhada por que esse é o comportamento predominante.  
3. Mostre o impacto disso na forma de vender, escrever, anunciar e abor"&amp;"dar.  
4. Dê exemplos de como isso muda a copy, o canal e o tipo de CTA.  
5. Mostre o que **não fazer** com esse tipo de comportamento.  
6. Traga sugestões estratégicas aplicáveis para copywriters, gestores de tráfego e criadores de conteúdo.
O resulta"&amp;"do deve ser um mini relatório prático e profundo para orientar decisões reais."
</f>
        <v>Você é um especialista em comportamento do consumidor com base na teoria de Philip Kotler.
Sua missão é analisar a forma como o público da marca MINA PIZZA se comporta no momento da compra, e enquadrar esse comportamento dentro de um dos quatro tipos descritos por Kotler:
1. Complexo  
2. Redutor de Dissonância (Dissonante)  
3. Habitual  
4. Busca Variada (Variável)
Essa análise deve ser feita com base nos seguintes dados:
• Modelo de negócio: Negócio Local (loja física, restaurante, clínica etc.)  
• Produto/serviço oferecido: Pizzas, Marmitas, Pastéis e Refeições Delivery  
• Setor: Alimentação  
• Público-alvo principal: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 Suas dores e desafios: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 Seus desejos e benefícios esperados: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 Como ele lida hoje com o problema: 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  
• Alternativas cogitadas: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  
• Nível de consciência: Nível de consciência: Médio
O cliente já sabe que precisa de uma refeição prática e conhece boa parte das alternativas disponíveis.
Ele também reconhece a Mina Pizza como uma marca tradicional.
No entanto, ainda não percebe completamente a transformação que a empresa está realizando nem os novos diferenciais relacionados à experiência digital, às marmitas, ao atendimento e à facilidade de compra.
Por isso, a comunicação deve demonstrar continuamente que a tradição permanece, mas a experiência evoluiu. O posicionamento de "tradição redescoberta" definido durante a consultoria atende exatamente a esse objetivo: reduzir a distância entre a imagem histórica da marca e a experiência moderna que se deseja oferecer.  
• Intensidade do sonho: Alta
O cliente não sonha, necessariamente, em comprar uma pizza. O sonho é mais profundo: ele deseja ter uma refeição saborosa, prática e confiável para compartilhar com quem gosta, sem preocupação com qualidade, atraso ou atendimento.
Esse desejo está presente de forma recorrente na rotina do público identificado durante a consultoria. A Mina Pizza atende tanto momentos cotidianos (almoço e jantar) quanto ocasiões especiais (encontros familiares e finais de semana), ampliando a relevância da marca na vida do consumidor.
Além disso, existe um componente emocional importante: muitos clientes cresceram consumindo a marca e desejam continuar vivendo essa experiência com a mesma confiança de antes, agora aliada a uma operação mais moderna.  
• Riscos percebidos: Baixo para o cliente | Moderado para a empresa
Para o cliente
Adotar a nova experiência praticamente não exige esforço.
Ele continua comprando da mesma marca que conhece, apenas utilizando canais mais simples e eficientes.
Não precisa aprender um novo serviço nem alterar seus hábitos de consumo.
Para a empresa
O investimento está concentrado em execução e organização.
As mudanças identificadas durante a consultoria envolvem principalmente:
gestão contínua da reputação online;
organização dos canais digitais;
atualização das informações institucionais;
treinamento da equipe de atendimento;
produção recorrente de conteúdo;
utilização consistente do WhatsApp Business;
acompanhamento de indicadores.
Essas iniciativas demandam disciplina operacional mais do que grandes investimentos financeiros.
, Muito Alto
Este é o ponto mais crítico identificado durante o diagnóstico.
Caso a Mina Pizza mantenha o modelo atual, os riscos tendem a aumentar progressivamente.
No curto prazo:
perda de novos clientes para concorrentes mais organizados digitalmente;
dificuldade para converter pesquisas em vendas;
continuidade das avaliações sem resposta;
dependência crescente do iFood.
No médio prazo:
redução da frequência de compra dos clientes tradicionais;
aumento do custo de aquisição de clientes;
necessidade crescente de promoções para competir.
No longo prazo:
enfraquecimento gradual da marca perante novas gerações;
perda do patrimônio construído ao longo de décadas;
redução da competitividade regional.
Esses riscos foram amplamente discutidos durante as reuniões, especialmente em relação à dependência de plataformas, à reputação digital e à necessidade de fortalecer canais próprios antes de ampliar investimentos em mídia paga.
Com base nessas informações:
1. Escolha qual dos quatro comportamentos define melhor esse público.  
2. Justifique de forma detalhada por que esse é o comportamento predominante.  
3. Mostre o impacto disso na forma de vender, escrever, anunciar e abordar.  
4. Dê exemplos de como isso muda a copy, o canal e o tipo de CTA.  
5. Mostre o que **não fazer** com esse tipo de comportamento.  
6. Traga sugestões estratégicas aplicáveis para copywriters, gestores de tráfego e criadores de conteúdo.
O resultado deve ser um mini relatório prático e profundo para orientar decisões reais.</v>
      </c>
    </row>
    <row r="15" ht="21.75" customHeight="1">
      <c r="A15" s="43" t="s">
        <v>755</v>
      </c>
      <c r="B15" s="44" t="str">
        <f>"Você é um especialista em arquétipos de marca, identidade simbólica e posicionamento estratégico.
Sua tarefa é analisar profundamente a marca " &amp; POSICIONAMENTO!B3 &amp; ", que atua no setor de " &amp; POSICIONAMENTO!E3 &amp; ", com o modelo de negócio " &amp; POSICIONAMENTO!D3 &amp; ", e oferece o produto/serviço " &amp; POSICIONAMENTO!F3 &amp; ".
Com base nas informações abaixo, você deve definir:
1. **Arquétipo Principal da marca** (o que a move no imaginário simbólico)  
2. **Dois Arquétipos Complementares** (que sustentam e equilibram a personalidade central)
Use os dados a seguir para emb"&amp;"asar sua escolha:
• Público principal: " &amp; 'USE CASE MAP'!B3 &amp; "  
• Dores e desafios do público: " &amp; 'USE CASE MAP'!E3 &amp; ", " &amp; 'USE CASE MAP'!D3 &amp; ", " &amp; 'USE CASE MAP'!F7 &amp; "  
• Desejos, ganhos prometidos e benefícios intangíveis: " &amp; 'USE CASE MAP'!E15 &amp; ", " &amp; 'USE CASE MAP'!F15 &amp; "  
• Diferencial competitivo: " &amp; 'USE CASE MAP'!F11 &amp; "  
• Sentimento que a marca deseja causar: " &amp; POSICIONAMENTO!D7 &amp; "  
• Tom e linguagem: " &amp; POSICIONAMENTO!B7 &amp; ", " &amp; POSICIONAMENTO!C7 &amp; "  
• Expressões e palavras-chave estratégicas: " &amp; POSICIONAMENTO!F7 &amp; ", " &amp; POSICIONAMENTO!G7 &amp; "
Com base nisso, entregue:
1. **O arquétipo principal**  
– Nome, essência e função simbólica  
– Justificativa simbólica (por que representa essa marca)  
– Justificativa estratégica (por que ajuda a vender, comunicar e crescer)  
– Aplicações práticas"&amp;" em: conteúdo, copy, posicionamento e identidade visual
2. **Dois arquétipos complementares**  
– Nome de cada um  
– Função de equilíbrio ou reforço  
– Em que momentos ou canais eles devem aparecer com mais força  
– Exemplo prático de como cada comple"&amp;"mentar atua sem roubar o protagonismo
3. **O que evitar** para não distorcer a essência arquetípica da marca
Escreva de forma profunda, estratégica e aplicada. Use uma linguagem clara e simbólica ao mesmo tempo."
</f>
        <v>Você é um especialista em arquétipos de marca, identidade simbólica e posicionamento estratégico.
Sua tarefa é analisar profundamente a marca MINA PIZZA, que atua no setor de Alimentação, com o modelo de negócio Negócio Local (loja física, restaurante, clínica etc.), e oferece o produto/serviço Pizzas, Marmitas, Pastéis e Refeições Delivery.
Com base nas informações abaixo, você deve definir:
1. **Arquétipo Principal da marca** (o que a move no imaginário simbólico)  
2. **Dois Arquétipos Complementares** (que sustentam e equilibram a personalidade central)
Use os dados a seguir para embasar sua escolha:
• Público principal: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 Dores e desafios do público: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 Desejos, ganhos prometidos e benefícios intangíveis: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 Diferencial competitivo: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 Sentimento que a marca deseja causar: Que encontrou um restaurante de confiança, com tradição, atendimento próximo e comida de qualidade para compartilhar com a família sem preocupação.  
• Tom e linguagem: Próximo, acolhedor e tradicional, Simples e objetiva, com linguagem regional e foco em confiança e tradição  
• Expressões e palavras-chave estratégicas: "O sabor que faz parte da história de São Vicente." • "Pizza boa é aquela que reúne a família." • "Tradição que continua na sua mesa." • "Peça pelo WhatsApp de forma rápida e fácil." • "Almoço caseiro, pizza de verdade e atendimento de quem conhece você.", Pizza Delivery São Vicente
Com base nisso, entregue:
1. **O arquétipo principal**  
– Nome, essência e função simbólica  
– Justificativa simbólica (por que representa essa marca)  
– Justificativa estratégica (por que ajuda a vender, comunicar e crescer)  
– Aplicações práticas em: conteúdo, copy, posicionamento e identidade visual
2. **Dois arquétipos complementares**  
– Nome de cada um  
– Função de equilíbrio ou reforço  
– Em que momentos ou canais eles devem aparecer com mais força  
– Exemplo prático de como cada complementar atua sem roubar o protagonismo
3. **O que evitar** para não distorcer a essência arquetípica da marca
Escreva de forma profunda, estratégica e aplicada. Use uma linguagem clara e simbólica ao mesmo tempo.</v>
      </c>
    </row>
    <row r="16" ht="21.75" customHeight="1">
      <c r="A16" s="8" t="s">
        <v>756</v>
      </c>
      <c r="B16" s="40" t="str">
        <f>"Você é um estrategista de negócios com foco em diagnóstico profundo através da matriz SWOT.
Sua missão é analisar a marca " &amp; POSICIONAMENTO!B3 &amp; ", que atua no setor " &amp; POSICIONAMENTO!E3 &amp; ", com o modelo de negócio " &amp; POSICIONAMENTO!D3 &amp; " e oferece o produto/serviço " &amp; POSICIONAMENTO!F3 &amp; ".
Utilize os dados abaixo para construir uma matriz SWOT com profundidade, clareza e aplicação real:
• Público principal: " &amp; 'USE CASE MAP'!B3 &amp; "  
• Dores e desafios do público: " &amp; 'USE CASE MAP'!E3 &amp; ", " &amp; 'USE CASE MAP'!D3 &amp; "  
• Desejos e ganhos prometidos: " &amp; 'USE CASE MAP'!E15 &amp; ", " &amp; 'USE CASE MAP'!F15 &amp; "  
• Como o público lida hoje com o problema: " &amp; 'USE CASE MAP'!D7 &amp; "  
• O diferencial da marca: " &amp; 'USE CASE MAP'!F11 &amp; "  
• Concorrência e alternativas: " &amp; 'USE CASE MAP'!B11 &amp; ", " &amp; 'USE CASE MAP'!C11 &amp; ", " &amp; 'USE CASE MAP'!D11 &amp; "  
• Nível de consciência e expectativa: " &amp; 'USE CASE MAP'!G15 &amp; ", " &amp; 'USE CASE MAP'!B19 &amp; "  
• Tom de voz e posicionamento: " &amp; POSICIONAMENTO!B7 &amp; ", " &amp; POSICIONAMENTO!D7 &amp; "  
• Palavras e expressões mais estratégicas: " &amp; POSICIONAMENTO!F7 &amp; ", " &amp; POSICIONAMENTO!G7 &amp; "
Com base nessas informações, preencha:
1. **FORÇAS (STRENGTHS)**  
– O que torna essa marca única?  
– O que já funciona bem e gera vantagem?  
– O que impressiona ou fideliza o público?
2. **FRAQUEZAS (WEAKNESSES)**  
– Onde há ruídos, gargalos ou fr"&amp;"agilidade estratégica?  
– Quais obstáculos internos limitam o crescimento?
3. **OPORTUNIDADES (OPPORTUNITIES)**  
– Quais tendências, lacunas ou mudanças de mercado favorecem a marca?  
– Onde há espaço para crescer, reposicionar ou inovar?
4. **AMEAÇA"&amp;"S (THREATS)**  
– Quais riscos externos podem afetar resultados?  
– O que os concorrentes ou o próprio mercado podem explorar?
Inclua exemplos práticos em cada quadrante, tanto de percepção do cliente quanto de ações que podem ser feitas. Finalize com u"&amp;"m direcionamento: **com base na SWOT, o que a marca deveria fazer agora?**"
</f>
        <v>Você é um estrategista de negócios com foco em diagnóstico profundo através da matriz SWOT.
Sua missão é analisar a marca MINA PIZZA, que atua no setor Alimentação, com o modelo de negócio Negócio Local (loja física, restaurante, clínica etc.) e oferece o produto/serviço Pizzas, Marmitas, Pastéis e Refeições Delivery.
Utilize os dados abaixo para construir uma matriz SWOT com profundidade, clareza e aplicação real:
• Público principal: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 Dores e desafios do público: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 Desejos e ganhos prometidos: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 Como o público lida hoje com o problema: 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  
• O diferencial da marca: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 Concorrência e alternativas: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  
• Nível de consciência e expectativa: Nível de consciência: Médio
O cliente já sabe que precisa de uma refeição prática e conhece boa parte das alternativas disponíveis.
Ele também reconhece a Mina Pizza como uma marca tradicional.
No entanto, ainda não percebe completamente a transformação que a empresa está realizando nem os novos diferenciais relacionados à experiência digital, às marmitas, ao atendimento e à facilidade de compra.
Por isso, a comunicação deve demonstrar continuamente que a tradição permanece, mas a experiência evoluiu. O posicionamento de "tradição redescoberta" definido durante a consultoria atende exatamente a esse objetivo: reduzir a distância entre a imagem histórica da marca e a experiência moderna que se deseja oferecer., Alta
O cliente não sonha, necessariamente, em comprar uma pizza. O sonho é mais profundo: ele deseja ter uma refeição saborosa, prática e confiável para compartilhar com quem gosta, sem preocupação com qualidade, atraso ou atendimento.
Esse desejo está presente de forma recorrente na rotina do público identificado durante a consultoria. A Mina Pizza atende tanto momentos cotidianos (almoço e jantar) quanto ocasiões especiais (encontros familiares e finais de semana), ampliando a relevância da marca na vida do consumidor.
Além disso, existe um componente emocional importante: muitos clientes cresceram consumindo a marca e desejam continuar vivendo essa experiência com a mesma confiança de antes, agora aliada a uma operação mais moderna.  
• Tom de voz e posicionamento: Próximo, acolhedor e tradicional, Que encontrou um restaurante de confiança, com tradição, atendimento próximo e comida de qualidade para compartilhar com a família sem preocupação.  
• Palavras e expressões mais estratégicas: "O sabor que faz parte da história de São Vicente." • "Pizza boa é aquela que reúne a família." • "Tradição que continua na sua mesa." • "Peça pelo WhatsApp de forma rápida e fácil." • "Almoço caseiro, pizza de verdade e atendimento de quem conhece você.", Pizza Delivery São Vicente
Com base nessas informações, preencha:
1. **FORÇAS (STRENGTHS)**  
– O que torna essa marca única?  
– O que já funciona bem e gera vantagem?  
– O que impressiona ou fideliza o público?
2. **FRAQUEZAS (WEAKNESSES)**  
– Onde há ruídos, gargalos ou fragilidade estratégica?  
– Quais obstáculos internos limitam o crescimento?
3. **OPORTUNIDADES (OPPORTUNITIES)**  
– Quais tendências, lacunas ou mudanças de mercado favorecem a marca?  
– Onde há espaço para crescer, reposicionar ou inovar?
4. **AMEAÇAS (THREATS)**  
– Quais riscos externos podem afetar resultados?  
– O que os concorrentes ou o próprio mercado podem explorar?
Inclua exemplos práticos em cada quadrante, tanto de percepção do cliente quanto de ações que podem ser feitas. Finalize com um direcionamento: **com base na SWOT, o que a marca deveria fazer agora?**</v>
      </c>
    </row>
    <row r="17" ht="21.75" customHeight="1">
      <c r="A17" s="8" t="s">
        <v>757</v>
      </c>
      <c r="B17" s="40" t="str">
        <f>"Você é um estrategista de marketing clássico com foco nos 4 Ps (Produto, Preço, Praça e Promoção).
Sua tarefa é analisar e definir os 4 Ps ideais para a marca " &amp; POSICIONAMENTO!B3 &amp; ", que atua no setor " &amp; POSICIONAMENTO!E3 &amp; ", com o modelo de negócio " &amp; POSICIONAMENTO!D3 &amp; ", e oferece o produto/serviço " &amp; POSICIONAMENTO!F3 &amp; ".
Leve em consideração:
• Quem é o público: " &amp; 'USE CASE MAP'!B3 &amp; "  
• Suas dores e desafios: " &amp; 'USE CASE MAP'!E3 &amp; ", " &amp; 'USE CASE MAP'!D3 &amp; ", " &amp; 'USE CASE MAP'!F7 &amp; "  
• Seus desejos e benefícios esperados: " &amp; 'USE CASE MAP'!E15 &amp; ", " &amp; 'USE CASE MAP'!F15 &amp; "  
• O que ele busca resolver e como toma decisão: " &amp; 'USE CASE MAP'!D7 &amp; ", " &amp; 'USE CASE MAP'!G15 &amp; "  
• As alternativas que ele considera: " &amp; 'USE CASE MAP'!B11 &amp; ", " &amp; 'USE CASE MAP'!C11 &amp; ", " &amp; 'USE CASE MAP'!D11 &amp; "  
• O diferencial estratégico da marca: " &amp; 'USE CASE MAP'!F11 &amp; "  
• O sentimento que queremos causar: " &amp; POSICIONAMENTO!D7 &amp; "  
• Tom de voz e linguagem: " &amp; POSICIONAMENTO!B7 &amp; ", " &amp; POSICIONAMENTO!C7 &amp; "
Com base nisso, entregue um plano prático de 4 Ps com:
1. **PRODUTO**  
– Como deve ser percebido?  
– Quais atributos devem ser comunicados com força?  
– O que o diferencia e resolve de forma única?
2. **PREÇO**  
– Como o preço deve ser posicionado"&amp;" (premium, acessível, comparativo)?  
– O público é sensível a valor ou investimento?  
– Como apresentar o preço sem gerar resistência?
3. **PRAÇA (distribuição)**  
– Onde esse produto deve estar presente para gerar desejo, conveniência e confiança?  
"&amp;"– Canais ideais para vendas e presença da marca  
– Há necessidade de expansão, centralização ou descentralização?
4. **PROMOÇÃO (comunicação)**  
– Quais mensagens, canais e estratégias devem ser usados?  
– Qual narrativa sustenta o diferencial da marc"&amp;"a?  
– Como converter o público respeitando seu momento?
Inclua justificativas estratégicas e exemplos aplicáveis em campanhas, copy, conteúdo, anúncio e jornada do cliente. Escreva de forma clara, prática e embasada."
</f>
        <v>Você é um estrategista de marketing clássico com foco nos 4 Ps (Produto, Preço, Praça e Promoção).
Sua tarefa é analisar e definir os 4 Ps ideais para a marca MINA PIZZA, que atua no setor Alimentação, com o modelo de negócio Negócio Local (loja física, restaurante, clínica etc.), e oferece o produto/serviço Pizzas, Marmitas, Pastéis e Refeições Delivery.
Leve em consideração:
• Quem é o público: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 Suas dores e desafios: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 Seus desejos e benefícios esperados: Os ganhos tangíveis para o cliente incluem:
menor tempo para concluir um pedido;
maior facilidade para encontrar informações;
atendimento mais rápido e organizado;
variedade de opções para diferentes momentos de consumo;
maior confiança na decisão de compra.
Para a empresa, os ganhos esperados são:
aumento da frequência de compra;
maior retenção da base atual;
crescimento das vendas de marmitas;
fortalecimento dos canais próprios;
redução gradual da dependência do iFood;
maior eficiência dos investimentos em mídia paga após a correção dos fundamentos digitais., Os benefícios mais valiosos da proposta são emocionais e relacionais.
O cliente volta a sentir que compra de uma empresa confiável, organizada e presente em sua rotina. A tradição deixa de ser apenas uma lembrança do passado e passa a representar uma escolha segura também no presente.
Com o tempo, fortalece-se a sensação de pertencimento: a Mina Pizza deixa de ser apenas um restaurante e passa a ocupar um espaço na memória afetiva da comunidade, tornando-se a opção natural para diferentes ocasiões.
Para a empresa, isso significa uma reputação mais sólida, maior autoridade regional, fidelização espontânea e aumento das indicações boca a boca — ativos difíceis de replicar apenas com investimento em publicidade.  
• O que ele busca resolver e como toma decisão: 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 Nível de consciência: Médio
O cliente já sabe que precisa de uma refeição prática e conhece boa parte das alternativas disponíveis.
Ele também reconhece a Mina Pizza como uma marca tradicional.
No entanto, ainda não percebe completamente a transformação que a empresa está realizando nem os novos diferenciais relacionados à experiência digital, às marmitas, ao atendimento e à facilidade de compra.
Por isso, a comunicação deve demonstrar continuamente que a tradição permanece, mas a experiência evoluiu. O posicionamento de "tradição redescoberta" definido durante a consultoria atende exatamente a esse objetivo: reduzir a distância entre a imagem histórica da marca e a experiência moderna que se deseja oferecer.  
• As alternativas que ele considera: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As alternativas substitutas mudam completamente a lógica de consumo.
O cliente pode decidir cozinhar em casa, comprar refeições prontas em supermercados, consumir alimentos congelados ou recorrer a conveniências e padarias próximas.
Outra alternativa substituta é simplesmente optar por uma refeição mais simples para evitar custos ou esforço de decisão.
Na prática, quando a jornada de compra da Mina Pizza apresenta atritos — dificuldade para localizar o restaurante, atendimento lento, ausência de informações claras ou canais pouco intuitivos — o consumidor tende a abandonar a intenção inicial e escolher a solução que exigir menos esforço.
Foi exatamente por esse motivo que, durante a consultoria, foi reforçado o princípio de experiência do usuário de "não me faça pensar", simplificando a jornada por meio de canais como WhatsApp Business, cardápios organizados e informações facilmente acessíveis.  
• O diferencial estratégico da marca: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 O sentimento que queremos causar: Que encontrou um restaurante de confiança, com tradição, atendimento próximo e comida de qualidade para compartilhar com a família sem preocupação.  
• Tom de voz e linguagem: Próximo, acolhedor e tradicional, Simples e objetiva, com linguagem regional e foco em confiança e tradição
Com base nisso, entregue um plano prático de 4 Ps com:
1. **PRODUTO**  
– Como deve ser percebido?  
– Quais atributos devem ser comunicados com força?  
– O que o diferencia e resolve de forma única?
2. **PREÇO**  
– Como o preço deve ser posicionado (premium, acessível, comparativo)?  
– O público é sensível a valor ou investimento?  
– Como apresentar o preço sem gerar resistência?
3. **PRAÇA (distribuição)**  
– Onde esse produto deve estar presente para gerar desejo, conveniência e confiança?  
– Canais ideais para vendas e presença da marca  
– Há necessidade de expansão, centralização ou descentralização?
4. **PROMOÇÃO (comunicação)**  
– Quais mensagens, canais e estratégias devem ser usados?  
– Qual narrativa sustenta o diferencial da marca?  
– Como converter o público respeitando seu momento?
Inclua justificativas estratégicas e exemplos aplicáveis em campanhas, copy, conteúdo, anúncio e jornada do cliente. Escreva de forma clara, prática e embasada.</v>
      </c>
    </row>
    <row r="18" ht="21.75" customHeight="1">
      <c r="A18" s="8" t="s">
        <v>6</v>
      </c>
      <c r="B18" s="40" t="str">
        <f>"Você tem a tarefa de definir, com precisão técnica e profundidade estratégica, o Público-Alvo da marca " &amp; POSICIONAMENTO!B3 &amp; ". 
As informações que você tem são as coletadas até então, mas você não se limita a elas, pois seu objetivo principal é ir além delas e encontrar o público potencial da forma mais assertiva possível. O público que conhecemos é composto por " &amp; 'USE CASE MAP'!B3 &amp; ", que busca " &amp; 'USE CASE MAP'!C3 &amp; ". Essas pessoas enfrentam desafios como " &amp; 'USE CASE MAP'!D3 &amp; ", o que se traduz em dores práticas como: " &amp; 'USE CASE MAP'!E3 &amp; ". Elas costumam lidar com esse problema da seguinte forma: " &amp; 'USE CASE MAP'!D7 &amp; ". Em muitos casos, expressam sua frustração por meio de frases como: “" &amp; 'USE CASE MAP'!F7 &amp; "”. O que elas mais precisam é " &amp; 'USE CASE MAP'!F3 &amp; ", mas seu desejo mais profundo é " &amp; 'USE CASE MAP'!G3 &amp; ". A comunicação que mais ressoa com esse público envolve: " &amp; 'USE CASE MAP'!H3 &amp; ". Essas pessoas estão em um nível de consciência descrito como " &amp; 'USE CASE MAP'!G7 &amp; ", o que exige uma abordagem clara, confiável e orientada por empatia. 
Crie agora nosso público-alvo compilando nosso público potencial, fornecendo dados Demográficos, Geográficos, Psicográficos, Dados Comportamentais, Tecnológicos e Contextuais. Integre"&amp;" os dados como um estrategista que está mapeando um plano de aquisição, copywriting e segmentação avançada. Seu texto será utilizado em apresentações internas, campanhas de ads e processos de qualificação."</f>
        <v>Você tem a tarefa de definir, com precisão técnica e profundidade estratégica, o Público-Alvo da marca MINA PIZZA. 
As informações que você tem são as coletadas até então, mas você não se limita a elas, pois seu objetivo principal é ir além delas e encontrar o público potencial da forma mais assertiva possível. O público que conhecemos é composto por O público principal da Mina Pizza não procura apenas uma pizzaria. Ele procura um estabelecimento que já faz parte da rotina da família e transmite confiança. São moradores de São Vicente e cidades próximas que trabalham durante o dia, possuem pouco tempo para cozinhar e valorizam estabelecimentos tradicionais que entreguem qualidade consistente sem complicação.
Grande parte desse público conheceu a empresa por indicação, pela localização ou por muitos anos de operação. Não é um consumidor que busca tendências gastronômicas ou restaurantes "instagramáveis". Seu comportamento é orientado por previsibilidade: ele prefere comprar onde já sabe que será bem atendido e receberá um produto que conhece.
Além da pizza, existe uma oportunidade importante de expansão por meio das marmitas e refeições do dia, aproveitando um hábito de consumo recorrente durante a semana, estratégia já identificada nas reuniões de planejamento., que busca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Essas pessoas enfrentam desafios como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o que se traduz em dores práticas como: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Elas costumam lidar com esse problema da seguinte forma: Na ausência de uma experiência digital consistente, o cliente busca alternativas para reduzir o esforço da compra.
Ele costuma ligar diretamente para o restaurante, procurar informações nas avaliações do Google, acessar o iFood para verificar cardápio e preços ou simplesmente escolher um concorrente cuja jornada seja mais rápida e intuitiva.
Clientes antigos frequentemente continuam comprando pela confiança construída ao longo dos anos, mas clientes novos tendem a desistir diante de pequenas dificuldades.
O diagnóstico também identificou que muitos consumidores acabam permanecendo no iFood pela praticidade, mesmo quando a empresa deseja migrá-los para canais próprios, como o WhatsApp Business, reduzindo a dependência da plataforma.. Em muitos casos, expressam sua frustração por meio de frases como: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O que elas mais precisam é Mais do que alimentação, esse cliente precisa de previsibilidade.
Ele deseja encontrar facilmente a empresa no Google, visualizar o cardápio atualizado, receber atendimento rápido pelo WhatsApp, ter informações claras sobre preços e opções disponíveis e concluir o pedido sem esforço.
Também existe uma necessidade crescente de relacionamento. O público valoriza sentir que é reconhecido, lembrado e respeitado durante o atendimento, aspecto discutido na aplicação da metodologia Jobs to Be Done durante a consultoria., mas seu desejo mais profundo é O cliente deseja manter a confiança construída ao longo dos anos, mas espera perceber evolução na empresa.
Ele quer continuar comprando na Mina Pizza sabendo que encontrará uma operação mais moderna, organizada e eficiente, sem perder a tradição que o fez se tornar cliente.
Também busca praticidade para repetir pedidos, receber novidades, promoções e cardápios sem precisar procurar informações em diversos canais.
Essa combinação entre tradição e modernização foi definida como o posicionamento estratégico de "tradição redescoberta" nas reuniões de diagnóstico.. A comunicação que mais ressoa com esse público envolve: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Essas pessoas estão em um nível de consciência descrito como Esse problema é constante.
Todos os dias novos consumidores pesquisam restaurantes antes de decidir onde comprar, enquanto clientes recorrentes avaliam cada interação para decidir se continuarão comprando da mesma empresa.
Cada ligação mal conduzida, avaliação sem resposta, dificuldade para encontrar informações ou atendimento demorado representa uma oportunidade perdida de venda ou fidelização.
Por isso, durante o planejamento, foi definida como prioridade a reorganização da presença digital, a implementação do WhatsApp Business, a padronização do atendimento e a gestão ativa das avaliações antes de ampliar os investimentos em mídia paga.
, o que exige uma abordagem clara, confiável e orientada por empatia. 
Crie agora nosso público-alvo compilando nosso público potencial, fornecendo dados Demográficos, Geográficos, Psicográficos, Dados Comportamentais, Tecnológicos e Contextuais. Integre os dados como um estrategista que está mapeando um plano de aquisição, copywriting e segmentação avançada. Seu texto será utilizado em apresentações internas, campanhas de ads e processos de qualificação.</v>
      </c>
    </row>
    <row r="19" ht="21.75" customHeight="1">
      <c r="A19" s="8" t="s">
        <v>758</v>
      </c>
      <c r="B19" s="40" t="str">
        <f>"Você tem a tarefa de construir o ICP ideal da marca " &amp; POSICIONAMENTO!B3 &amp; " com base nos seus quatro principais tipos de cliente: o Melhor Cliente, o Mais Lucrativo, o Mais Antigo e o Cliente dos Sonhos.
Analise os dados fornecidos abaixo e identifique os padrões mais relevantes entre eles. Use essas informações para criar um p"&amp;"erfil de cliente ideal realista, escalável e acionável. Leve em consideração principalmente os elementos que se repetem ou se complementam de forma estratégica.
---
DADOS DOS CLIENTES
1. MELHOR CLIENTE
- Quem é: " &amp; CLIENTES!B3 &amp; "
- Diferenças: " &amp; CLIENTES!C3 &amp; "
- Motivação: " &amp; CLIENTES!D3 &amp; "
- Consciência: " &amp; CLIENTES!E3 &amp; "
- Canal de entrada: " &amp; CLIENTES!F3 &amp; "
- Frequência: " &amp; CLIENTES!G3 &amp; "
- Potencial: " &amp; CLIENTES!H3 &amp; "
2. MAIS ANTIGO
- Quem é: " &amp; CLIENTES!B7 &amp; "
- Diferenças: " &amp; CLIENTES!C7 &amp; "
- Motivação: " &amp; CLIENTES!D7 &amp; "
- Consciência: " &amp; CLIENTES!E7 &amp; "
- Canal de entrada: " &amp; CLIENTES!F7 &amp; "
- Frequência: " &amp; CLIENTES!G7 &amp; "
- Potencial: " &amp; CLIENTES!H7 &amp; "
3. MAIS LUCRATIVO
- Quem é: " &amp; CLIENTES!B11 &amp; "
- Diferenças: " &amp; CLIENTES!C11 &amp; "
- Motivação: " &amp; CLIENTES!D11 &amp; "
- Consciência: " &amp; CLIENTES!E11 &amp; "
- Canal de entrada: " &amp; CLIENTES!F11 &amp; "
- Frequência: " &amp; CLIENTES!G11 &amp; "
- Potencial: " &amp; CLIENTES!H11 &amp; "
4. CLIENTE DOS SONHOS
- Quem é: " &amp; CLIENTES!B15 &amp; "
- Diferenças: " &amp; CLIENTES!C15 &amp; "
- Motivação: " &amp; CLIENTES!D15 &amp; "
- Consciência: " &amp; CLIENTES!E15 &amp; "
- Canal de entrada: " &amp; CLIENTES!F15 &amp; "
- Frequência: " &amp; CLIENTES!G15 &amp; "
- Potencial: " &amp; CLIENTES!H15 &amp; "
---
INSTRUÇÕES PARA GERAR O ICP:
- Identifique os padrões recorrentes entre os quatro perfis.
- Ignore pontos muito específicos ou que não são escaláveis.
Forneça uma descrição estratégica e sintética do cliente ideal com base nos dados analisados, co"&amp;"nsiderando:
- Perfil geral do cliente
- Comportamentos e atitudes típicas
- Motivação e gatilhos de compra
- Nível de consciência médio
- Estilo de decisão
- Potencial de crescimento ou recompra
---
PARTE 2 — DADOS ESTRUTURADOS PARA SEGMENTAÇÃO (FORMAT"&amp;"O DE TABELA)
Preencha os campos abaixo com base no cruzamento dos 4 perfis:
| Campo                        | Descrição gerada                                                                 |
|-----------------------------|------------------------------"&amp;"-----------------------------------------------------|
| Faixa Etária                | (ex: 30–45 anos)                                                                 |
| Gênero predominante         | (ex: Feminino / Masculino / Ambos)                   "&amp;"                           |
| Renda mensal estimada       | (ex: R$7.000 – R$20.000)                                                         |
| Ocupação / Profissão        | (ex: Profissional liberal, empresário, influenciadora, aposentado)             "&amp;" |
| Localização geográfica      | (ex: Capitais do Sudeste + Sul do Brasil)                                       |
| Canal de entrada favorito   | (ex: Indicação, Instagram, YouTube, Google, Pinterest, Arquitetos)             |
| Momento da jornada     "&amp;"     | (ex: Já ciente do problema, buscando solução, pronto para decidir)              |
| Motivador principal         | (ex: Alívio de dor física, experiência premium, influência externa, status)     |
| Critério-chave de decisão   | (ex: Personalização,"&amp;" confiança, resultado prático, suporte no pós-venda)       |
| Frequência esperada         | (ex: Compra pontual com alto ticket + alta taxa de indicação ou recompra)       |
| Potencial de crescimento    | (ex: Alto – tendência a comprar mais produtos e "&amp;"indicar)                        |
---
PARTE 3 — REGRAS DE QUALIFICAÇÃO (PRONTAS PARA CRM, ADS OU COPY)
Liste 5 critérios de qualificação que seriam usados para filtrar leads ideais:
1. (ex: Pessoa entre 30 e 45 anos, com renda superior a R$8 mil)
2. ("&amp;"ex: Chega via Instagram ou recomendação de arquiteto ou especialista)
3. (ex: Já pesquisou outras soluções antes de chegar)
4. (ex: Tem dores nas costas, sono ruim ou foco em bem-estar)
5. (ex: Interesse em produtos personalizados ou premium)
---
Instru"&amp;"ções extras:
- Evite generalizações. Seja específico com base nos dados.  
- Se houver contradições entre os perfis, favoreça os dados mais escaláveis.  
- Pense como estrategista de marketing e gestor de aquisição.  
- Use vocabulário técnico e pronto pa"&amp;"ra ação.
Responda como se fosse um especialista em Go-to-Market e segmentação estratégica."
</f>
        <v>Você tem a tarefa de construir o ICP ideal da marca MINA PIZZA com base nos seus quatro principais tipos de cliente: o Melhor Cliente, o Mais Lucrativo, o Mais Antigo e o Cliente dos Sonhos.
Analise os dados fornecidos abaixo e identifique os padrões mais relevantes entre eles. Use essas informações para criar um perfil de cliente ideal realista, escalável e acionável. Leve em consideração principalmente os elementos que se repetem ou se complementam de forma estratégica.
---
DADOS DOS CLIENTES
1. MELHOR CLIENTE
- Quem é: Mulher, 38 anos, fisioterapeuta clínica em Campinas (SP), classe média alta, sensível à saúde e qualidade de vida.
- Diferenças: Muito bem informada, comparou várias marcas antes de decidir, deu feedback técnico após uso, virou embaixadora informal da marca.
- Motivação: Sofria com dores lombares crônicas, pacientes sempre perguntavam sobre colchões. Buscava algo com suporte firme, feito para seu biotipo.
- Consciência: Ciente da solução e do produto, já pesquisava colchões ortopédicos e personalizados.
- Canal de entrada: Descobriu via vídeo no YouTube sobre ergonomia do sono, clicou no link e agendou atendimento consultivo.
- Frequência: Fez uma compra premium e depois indicou para 5 pacientes. Mandou 3 mensagens de agradecimento.
- Potencial: Alto – tem influência no segmento de saúde, virou cliente recorrente para outros produtos (travesseiro, base, colchão infantil).
2. MAIS ANTIGO
- Quem é: Casal, 42 e 39 anos, empresários no setor de franquias, alto poder aquisitivo, moram em Alphaville (SP).
- Diferenças: Compraram 3 colchões completos: suíte máster, casa de praia e para o filho. Sem barganha, com upgrades.
- Motivação: Reformaram a casa e queriam uma experiência de sono personalizada para cada ambiente.
- Consciência: Totalmente conscientes – chegaram com referências, queriam “o melhor colchão do Brasil”.
- Canal de entrada: Indicação de arquiteta parceira da marca.
- Frequência: Compraram 3 vezes em 90 dias e recomendaram para outro casal (ticket semelhante).
- Potencial: Alto – têm poder de compra, rede social com lifestyle forte, valorizaram experiência personalizada e exclusividade do atendimento.
3. MAIS LUCRATIVO
- Quem é: Homem, 67 anos, aposentado, mora em Belo Horizonte. Cliente desde 2017. Conservador, detalhista, muito fiel.
- Diferenças: Exige explicações técnicas profundas, confia na marca. Telefone fixo, não interage em redes, mas liga a cada 2 anos para ajustes.
- Motivação: Comprou após indicação do ortopedista. Tinha hérnia de disco e queria um colchão que aliviasse a dor.
- Consciência: Ciente do problema e da solução, mas desconfiava de marcas populares. Queria algo confiável.
- Canal de entrada: Descobriu após indicação boca a boca e buscou no Google, depois ligou para a loja.
- Frequência: Comprou colchão em 2017, base em 2019, e nova espuma sob medida em 2022.
- Potencial: Médio – apesar da idade e do ticket limitado, tem influência sobre outros aposentados e familiares (já indicou a filha e o cunhado).
4. CLIENTE DOS SONHOS
- Quem é: Mulher, 33 anos, influenciadora digital no nicho de autocuidado e bem-estar, com 180k seguidores no Instagram, mora em Florianópolis.
- Diferenças: Além de comprar, documentou a jornada do colchão em posts e stories, gerando 7 novos leads de alto valor em uma semana.
- Motivação: Busca constante por otimizar performance e qualidade de vida. Já tinha testado colchões gringos e queria algo nacional de alto nível.
- Consciência: Totalmente consciente – buscava uma marca nacional premium e já entendia sobre densidade, materiais e sono profundo.
- Canal de entrada: Veio por tráfego orgânico de Instagram, depois acessou o site, leu o blog e chamou no WhatsApp.
- Frequência: Comprou colchão, base, travesseiros e está testando nova espuma para divulgar num review.
- Potencial: Altíssimo – gera autoridade, conversão orgânica e agrega valor aspiracional à marca. Pode ser parceira recorrente ou rosto da campanha.
---
INSTRUÇÕES PARA GERAR O ICP:
- Identifique os padrões recorrentes entre os quatro perfis.
- Ignore pontos muito específicos ou que não são escaláveis.
Forneça uma descrição estratégica e sintética do cliente ideal com base nos dados analisados, considerando:
- Perfil geral do cliente
- Comportamentos e atitudes típicas
- Motivação e gatilhos de compra
- Nível de consciência médio
- Estilo de decisão
- Potencial de crescimento ou recompra
---
PARTE 2 — DADOS ESTRUTURADOS PARA SEGMENTAÇÃO (FORMATO DE TABELA)
Preencha os campos abaixo com base no cruzamento dos 4 perfis:
| Campo                        | Descrição gerada                                                                 |
|-----------------------------|-----------------------------------------------------------------------------------|
| Faixa Etária                | (ex: 30–45 anos)                                                                 |
| Gênero predominante         | (ex: Feminino / Masculino / Ambos)                                              |
| Renda mensal estimada       | (ex: R$7.000 – R$20.000)                                                         |
| Ocupação / Profissão        | (ex: Profissional liberal, empresário, influenciadora, aposentado)              |
| Localização geográfica      | (ex: Capitais do Sudeste + Sul do Brasil)                                       |
| Canal de entrada favorito   | (ex: Indicação, Instagram, YouTube, Google, Pinterest, Arquitetos)             |
| Momento da jornada          | (ex: Já ciente do problema, buscando solução, pronto para decidir)              |
| Motivador principal         | (ex: Alívio de dor física, experiência premium, influência externa, status)     |
| Critério-chave de decisão   | (ex: Personalização, confiança, resultado prático, suporte no pós-venda)       |
| Frequência esperada         | (ex: Compra pontual com alto ticket + alta taxa de indicação ou recompra)       |
| Potencial de crescimento    | (ex: Alto – tendência a comprar mais produtos e indicar)                        |
---
PARTE 3 — REGRAS DE QUALIFICAÇÃO (PRONTAS PARA CRM, ADS OU COPY)
Liste 5 critérios de qualificação que seriam usados para filtrar leads ideais:
1. (ex: Pessoa entre 30 e 45 anos, com renda superior a R$8 mil)
2. (ex: Chega via Instagram ou recomendação de arquiteto ou especialista)
3. (ex: Já pesquisou outras soluções antes de chegar)
4. (ex: Tem dores nas costas, sono ruim ou foco em bem-estar)
5. (ex: Interesse em produtos personalizados ou premium)
---
Instruções extras:
- Evite generalizações. Seja específico com base nos dados.  
- Se houver contradições entre os perfis, favoreça os dados mais escaláveis.  
- Pense como estrategista de marketing e gestor de aquisição.  
- Use vocabulário técnico e pronto para ação.
Responda como se fosse um especialista em Go-to-Market e segmentação estratégica.</v>
      </c>
    </row>
    <row r="20" ht="21.75" customHeight="1">
      <c r="A20" s="8" t="s">
        <v>54</v>
      </c>
      <c r="B20" s="40" t="str">
        <f>"Você tem a tarefa de criar 5 personas completamente diferentes, uma por vez, com base nas informações do produto oferecido pela marca " &amp; POSICIONAMENTO!B3 &amp; ". 
O objetivo é representar arquétipos reais que comprariam esse produto, considerando contextos, comportamentos e características únicas.
O produto resolve o seguinte problema: " &amp; 'USE CASE MAP'!C3 &amp; ". Ele alivia a dor da seguinte forma: " &amp; 'USE CASE MAP'!D3 &amp; ", prometendo como ganho prático: " &amp; 'USE CASE MAP'!E3 &amp; ". Além disso, oferece ganhos intangíveis como: " &amp; 'USE CASE MAP'!F3 &amp; ", e seu diferencial é: " &amp; 'USE CASE MAP'!F11 &amp; ".
Essas personas devem ser construídas com base nas seguintes diretrizes:
- Cada persona deve representar um espectro diferente do público que sofre com " &amp; 'USE CASE MAP'!C3 &amp; " e expressa frustrações como: """ &amp; 'USE CASE MAP'!F7 &amp; """.
- A comunicação mais eficaz envolve: " &amp; 'USE CASE MAP'!H3 &amp; ", com nível de consciência atual: " &amp; 'USE CASE MAP'!G3 &amp; ".
- O momento de busca costuma surgir após eventos como: " &amp; 'USE CASE MAP'!E10 &amp; " e o impacto da dor é: " &amp; 'USE CASE MAP'!E6 &amp; ".
- As alternativas diretas hoje são: " &amp; 'USE CASE MAP'!B11 &amp; ", e indiretas: " &amp; 'USE CASE MAP'!C11 &amp; ".
Para cada persona, você deve incluir obrigatoriamente:
1. Dados **Demográficos**: idade, gênero, estado civil, escolaridade, renda mensal.
2. **Localização Geográfica**: cidade ou região onde vive, tipo de área (urbana/rural).
3. Perfil **Psicográfico*"&amp;"*: valores, crenças, estilo de vida, relação com conforto, saúde e autocuidado.
4. Dados **Comportamentais**: como essa pessoa pesquisa, decide e compra colchões. Que tipo de jornada ela percorre. Como lida com promessas de marketing.
5. Dados **Tecnológi"&amp;"cos**: nível de familiaridade com tecnologia, redes sociais e canais que mais usa (ex: marketplaces, YouTube, WhatsApp, fóruns, blogs). Confiança em avaliações e influência de reviews.
6. Dados **Contextuais**: situação de vida atual (ex: recém-casado, cu"&amp;"ida de alguém doente, se mudou de cidade, lida com dores crônicas, etc.), contexto emocional ou físico que gera urgência na compra.
7. **Nível de Consciência** e Etapa de Jornada de Compra.
8. **Dor central** e **desejo latente**.
9. **Frase típica** que "&amp;"essa persona falaria (ex: “Eu não aguento mais acordar cansado”).
10. **Alternativa que já tentou** e o motivo pelo qual não funcionou.
11. **Descrição física** dessa persona: como ela se parece, como se veste, como se apresenta em uma foto de perfil de r"&amp;"ede social.
12. **O que tornaria essa persona ideal para o produto** descrito — e como ela justificaria a decisão para si mesma.
Importante: cada persona deve parecer uma pessoa real, com nome fictício, história coerente e completamente distinta das dema"&amp;"is. Use os dados como base, mas diversifique social, emocional e comportamentalmente. Seja técnico, mas humano.
Finalize cada resposta com:
1 - Gerar Próxima Persona  
2 - Melhorar Persona Atual"
</f>
        <v>Você tem a tarefa de criar 5 personas completamente diferentes, uma por vez, com base nas informações do produto oferecido pela marca MINA PIZZA. 
O objetivo é representar arquétipos reais que comprariam esse produto, considerando contextos, comportamentos e características únicas.
O produto resolve o seguinte problema: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Ele alivia a dor da seguinte forma: Embora seja um cliente fiel, sua permanência não é garantida. O aumento das opções de delivery e a facilidade de comparação entre restaurantes tornam a experiência de atendimento um fator decisivo.
Nas reuniões foram identificados desafios operacionais que impactam diretamente essa percepção, como dificuldades no atendimento telefônico, demora na resposta, falta de padronização e limitações nos canais digitais.
Outro desafio é que esse público não deseja aprender processos novos para fazer um pedido. Quanto mais simples for a jornada — especialmente via WhatsApp — maior tende a ser a conversão. Essa necessidade de simplificação também foi destacada durante o diagnóstico., prometendo como ganho prático: A principal dor não está relacionada apenas ao produto, mas à experiência completa.
Quando decide pedir comida, o cliente espera rapidez, clareza e cordialidade. Qualquer atrito durante esse processo reduz sua confiança na marca.
As reuniões identificaram reclamações recorrentes envolvendo atendimento telefônico ríspido, demora, falta de informações sobre produtos e dificuldades durante o pedido, pontos confirmados tanto pelas avaliações públicas quanto pelo teste de cliente oculto.
Algumas expressões que representam esse sentimento são:
"Toda vez preciso ligar mais de uma vez."
"Nunca sei quais pratos têm hoje."
"Quem atende parece estar com pressa."
"Achei que a qualidade caiu."
"Está ficando caro pelo que entrega."
"Prefiro pedir onde respondem mais rápido.". Além disso, oferece ganhos intangíveis como: Mais do que alimentação, esse cliente precisa de previsibilidade.
Ele deseja encontrar facilmente a empresa no Google, visualizar o cardápio atualizado, receber atendimento rápido pelo WhatsApp, ter informações claras sobre preços e opções disponíveis e concluir o pedido sem esforço.
Também existe uma necessidade crescente de relacionamento. O público valoriza sentir que é reconhecido, lembrado e respeitado durante o atendimento, aspecto discutido na aplicação da metodologia Jobs to Be Done durante a consultoria., e seu diferencial é: O maior diferencial competitivo da Mina Pizza não é apenas vender pizzas, marmitas ou pastéis. É possuir uma história autêntica construída ao longo de décadas, combinada com um projeto de modernização que preserva essa identidade.
Enquanto muitos concorrentes precisam criar narrativas para transmitir tradição, a Mina Pizza possui um legado real que pode ser utilizado como elemento de diferenciação. Esse posicionamento foi reconhecido nas reuniões como uma vantagem estratégica relevante.
Além da tradição, outros diferenciais fortalecem essa proposta:
diversidade de produtos para diferentes momentos de consumo (pizza, marmitas e pastéis);
reconhecimento local consolidado;
relacionamento próximo com clientes recorrentes;
potencial para oferecer uma experiência simples e eficiente por canais próprios, reduzindo a dependência de plataformas.
Quando esses elementos são combinados com atendimento padronizado, boa gestão da reputação online e presença digital consistente, a empresa deixa de competir apenas por preço e passa a competir por confiança.
Essas personas devem ser construídas com base nas seguintes diretrizes:
- Cada persona deve representar um espectro diferente do público que sofre com O principal objetivo desse cliente é resolver uma necessidade cotidiana de alimentação com rapidez, praticidade e segurança. Ele deseja evitar o desgaste de cozinhar, ganhar tempo após um dia de trabalho e alimentar a família sem correr riscos ao experimentar locais desconhecidos.
Quando pede uma pizza, busca um momento de lazer e convivência familiar. Quando compra uma marmita, procura uma solução prática para o almoço sem perder a sensação de comida caseira.
Existe também uma motivação emocional importante: consumir em um local tradicional reforça a sensação de pertencimento e continuidade de uma rotina construída ao longo dos anos. e expressa frustrações como: "A causa do problema não está na qualidade da marca ou na ausência de mercado.
Ela resulta da combinação de fatores operacionais e digitais que se acumularam ao longo do tempo.
Entre os principais fatores identificados durante a consultoria estão:
baixa maturidade digital;
ausência de rotina para gestão de reputação online;
inconsistência entre os canais digitais;
atendimento telefônico sem protocolo padronizado;
dependência excessiva do iFood;
adoção tardia de ferramentas como WhatsApp Business;
dificuldade em apresentar corretamente o portfólio de produtos, especialmente marmitas.
Em outras palavras, o negócio possui valor percebido pela tradição, mas ainda não transformou esse patrimônio em uma operação preparada para competir no ambiente digital.".
- A comunicação mais eficaz envolve: A comunicação ideal para esse público deve ser simples, objetiva e acolhedora.
O diagnóstico concluiu que o cliente da Mina Pizza responde melhor a uma linguagem direta, evitando excesso de memes, tendências ou conteúdos excessivamente informais. A recomendação foi priorizar clareza, tradição e proximidade no tom de voz da marca.
Esse público costuma utilizar expressões como:
"Vou pedir a pizza de sempre."
"Tem marmita hoje?"
"Manda o cardápio no WhatsApp."
"Quanto tempo demora?"
"Vocês entregam aqui?"
"Quero uma comida boa sem complicação."
Essa forma de comunicação demonstra que o cliente valoriza objetividade e conveniência, e espera que a empresa acompanhe esse mesmo padrão em todos os pontos de contato., com nível de consciência atual: O cliente deseja manter a confiança construída ao longo dos anos, mas espera perceber evolução na empresa.
Ele quer continuar comprando na Mina Pizza sabendo que encontrará uma operação mais moderna, organizada e eficiente, sem perder a tradição que o fez se tornar cliente.
Também busca praticidade para repetir pedidos, receber novidades, promoções e cardápios sem precisar procurar informações em diversos canais.
Essa combinação entre tradição e modernização foi definida como o posicionamento estratégico de "tradição redescoberta" nas reuniões de diagnóstico..
- O momento de busca costuma surgir após eventos como: Motivo (Evento Gatilho) e o impacto da dor é: Expressão da Dor.
- As alternativas diretas hoje são: As alternativas diretas são empresas que disputam exatamente o mesmo espaço mental do consumidor: quando ele decide pedir uma pizza, uma marmita ou uma refeição pronta na região de São Vicente.
O principal concorrente identificado durante a consultoria foi o Império da Pizza, que possui forte presença no Google, Instagram e iFood, além de operar mais de uma unidade física. Seu diferencial está na consistência da presença digital e na facilidade de ser encontrado quando o consumidor pesquisa por pizzarias na região.
Outro concorrente relevante é o Café com Pizza, que apresenta alto volume de avaliações e boa exposição no iFood. Apesar de possuir um posicionamento mais genérico, sua presença constante nas plataformas digitais faz com que participe diretamente da decisão de compra do consumidor.
A Big Família foi considerada a principal referência aspiracional para a Mina Pizza. O modelo de negócio, que combina almoço, marmitas e pizzas, é bastante semelhante ao objetivo estratégico definido para a empresa. Além disso, sua comunicação, identidade visual e presença digital demonstram um nível de maturidade superior, tornando-a um benchmark para futuras ações.
Esses concorrentes competem diretamente pelos mesmos clientes, horários de consumo, localização geográfica e intenção de compra., e indiretas: As alternativas indiretas atendem à mesma necessidade principal — alimentar-se com praticidade — porém utilizando propostas diferentes.
Entre elas estão restaurantes especializados em marmitas, self-service, comida caseira, lanchonetes, hamburguerias, pastelarias e outros estabelecimentos que oferecem refeições prontas para almoço ou jantar.
O próprio diagnóstico apontou que a expansão das marmitas representa uma oportunidade justamente porque o consumidor não procura apenas "pizza"; durante a semana ele busca resolver rapidamente o almoço. Essa mudança de comportamento foi considerada uma das principais oportunidades de crescimento da Mina Pizza.
Também entram nessa categoria os estabelecimentos fortemente posicionados dentro do iFood, que aparecem antes da Mina Pizza graças ao investimento em mídia, avaliações e otimização da plataforma..
Para cada persona, você deve incluir obrigatoriamente:
1. Dados **Demográficos**: idade, gênero, estado civil, escolaridade, renda mensal.
2. **Localização Geográfica**: cidade ou região onde vive, tipo de área (urbana/rural).
3. Perfil **Psicográfico**: valores, crenças, estilo de vida, relação com conforto, saúde e autocuidado.
4. Dados **Comportamentais**: como essa pessoa pesquisa, decide e compra colchões. Que tipo de jornada ela percorre. Como lida com promessas de marketing.
5. Dados **Tecnológicos**: nível de familiaridade com tecnologia, redes sociais e canais que mais usa (ex: marketplaces, YouTube, WhatsApp, fóruns, blogs). Confiança em avaliações e influência de reviews.
6. Dados **Contextuais**: situação de vida atual (ex: recém-casado, cuida de alguém doente, se mudou de cidade, lida com dores crônicas, etc.), contexto emocional ou físico que gera urgência na compra.
7. **Nível de Consciência** e Etapa de Jornada de Compra.
8. **Dor central** e **desejo latente**.
9. **Frase típica** que essa persona falaria (ex: “Eu não aguento mais acordar cansado”).
10. **Alternativa que já tentou** e o motivo pelo qual não funcionou.
11. **Descrição física** dessa persona: como ela se parece, como se veste, como se apresenta em uma foto de perfil de rede social.
12. **O que tornaria essa persona ideal para o produto** descrito — e como ela justificaria a decisão para si mesma.
Importante: cada persona deve parecer uma pessoa real, com nome fictício, história coerente e completamente distinta das demais. Use os dados como base, mas diversifique social, emocional e comportamentalmente. Seja técnico, mas humano.
Finalize cada resposta com:
1 - Gerar Próxima Persona  
2 - Melhorar Persona Atual</v>
      </c>
    </row>
    <row r="21">
      <c r="A21" s="12"/>
      <c r="B21" s="12"/>
    </row>
  </sheetData>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9.63"/>
  </cols>
  <sheetData>
    <row r="1" ht="18.0" customHeight="1">
      <c r="A1" s="6" t="s">
        <v>422</v>
      </c>
      <c r="B1" s="30" t="s">
        <v>425</v>
      </c>
    </row>
    <row r="2" ht="18.0" customHeight="1">
      <c r="A2" s="31" t="s">
        <v>493</v>
      </c>
      <c r="B2" s="32" t="s">
        <v>505</v>
      </c>
    </row>
    <row r="3" ht="18.0" customHeight="1">
      <c r="B3" s="33"/>
    </row>
    <row r="4" ht="18.0" customHeight="1">
      <c r="B4" s="33"/>
    </row>
    <row r="5" ht="18.0" customHeight="1">
      <c r="B5" s="33"/>
    </row>
    <row r="6" ht="18.0" customHeight="1">
      <c r="B6" s="33"/>
    </row>
    <row r="7" ht="18.0" customHeight="1">
      <c r="B7" s="33"/>
    </row>
    <row r="8" ht="18.0" customHeight="1">
      <c r="B8" s="33"/>
    </row>
    <row r="9" ht="18.0" customHeight="1">
      <c r="B9" s="33"/>
    </row>
    <row r="10" ht="18.0" customHeight="1">
      <c r="B10" s="33"/>
    </row>
    <row r="11" ht="18.0" customHeight="1">
      <c r="B11" s="33"/>
    </row>
    <row r="12" ht="18.0" customHeight="1">
      <c r="B12" s="33"/>
    </row>
    <row r="13" ht="18.0" customHeight="1">
      <c r="B13" s="33"/>
    </row>
    <row r="14" ht="18.0" customHeight="1">
      <c r="B14" s="33"/>
    </row>
    <row r="15" ht="18.0" customHeight="1">
      <c r="B15" s="33"/>
    </row>
    <row r="16" ht="18.0" customHeight="1">
      <c r="B16" s="33"/>
    </row>
    <row r="17" ht="18.0" customHeight="1">
      <c r="B17" s="33"/>
    </row>
    <row r="18" ht="18.0" customHeight="1">
      <c r="B18" s="33"/>
    </row>
    <row r="19" ht="18.0" customHeight="1">
      <c r="B19" s="33"/>
    </row>
    <row r="20" ht="18.0" customHeight="1">
      <c r="B20" s="33"/>
    </row>
    <row r="21" ht="18.0" customHeight="1">
      <c r="B21" s="33"/>
    </row>
    <row r="22" ht="18.0" customHeight="1">
      <c r="B22" s="33"/>
    </row>
    <row r="23" ht="18.0" customHeight="1">
      <c r="B23" s="33"/>
    </row>
    <row r="24" ht="18.0" customHeight="1">
      <c r="B24" s="33"/>
    </row>
    <row r="25" ht="18.0" customHeight="1">
      <c r="B25" s="33"/>
    </row>
    <row r="26" ht="18.0" customHeight="1">
      <c r="B26" s="33"/>
    </row>
    <row r="27" ht="18.0" customHeight="1">
      <c r="B27" s="33"/>
    </row>
    <row r="28" ht="18.0" customHeight="1">
      <c r="B28" s="33"/>
    </row>
    <row r="29" ht="18.0" customHeight="1">
      <c r="B29" s="33"/>
    </row>
    <row r="30" ht="18.0" customHeight="1">
      <c r="B30" s="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25"/>
    <col customWidth="1" min="2" max="2" width="143.5"/>
  </cols>
  <sheetData>
    <row r="1">
      <c r="A1" s="34" t="s">
        <v>538</v>
      </c>
      <c r="B1" s="34" t="s">
        <v>543</v>
      </c>
    </row>
    <row r="2">
      <c r="A2" s="35" t="s">
        <v>544</v>
      </c>
      <c r="B2" s="35" t="s">
        <v>549</v>
      </c>
    </row>
    <row r="3">
      <c r="A3" s="35" t="s">
        <v>550</v>
      </c>
      <c r="B3" s="35" t="s">
        <v>551</v>
      </c>
    </row>
    <row r="4">
      <c r="A4" s="35" t="s">
        <v>553</v>
      </c>
      <c r="B4" s="35" t="s">
        <v>555</v>
      </c>
    </row>
    <row r="5">
      <c r="A5" s="35" t="s">
        <v>557</v>
      </c>
      <c r="B5" s="35" t="s">
        <v>559</v>
      </c>
    </row>
    <row r="6">
      <c r="A6" s="35" t="s">
        <v>561</v>
      </c>
      <c r="B6" s="35" t="s">
        <v>563</v>
      </c>
    </row>
    <row r="7">
      <c r="A7" s="35" t="s">
        <v>565</v>
      </c>
      <c r="B7" s="35" t="s">
        <v>567</v>
      </c>
    </row>
    <row r="8">
      <c r="A8" s="35" t="s">
        <v>568</v>
      </c>
      <c r="B8" s="35" t="s">
        <v>570</v>
      </c>
    </row>
    <row r="9">
      <c r="A9" s="35" t="s">
        <v>573</v>
      </c>
      <c r="B9" s="35" t="s">
        <v>575</v>
      </c>
    </row>
    <row r="10">
      <c r="A10" s="35" t="s">
        <v>101</v>
      </c>
      <c r="B10" s="35" t="s">
        <v>577</v>
      </c>
    </row>
    <row r="11">
      <c r="A11" s="35" t="s">
        <v>421</v>
      </c>
      <c r="B11" s="35" t="s">
        <v>581</v>
      </c>
    </row>
    <row r="12">
      <c r="A12" s="35" t="s">
        <v>583</v>
      </c>
      <c r="B12" s="35" t="s">
        <v>585</v>
      </c>
    </row>
    <row r="13">
      <c r="A13" s="35" t="s">
        <v>587</v>
      </c>
      <c r="B13" s="35" t="s">
        <v>590</v>
      </c>
    </row>
    <row r="14">
      <c r="A14" s="35" t="s">
        <v>591</v>
      </c>
      <c r="B14" s="35" t="s">
        <v>592</v>
      </c>
    </row>
    <row r="15">
      <c r="A15" s="35" t="s">
        <v>595</v>
      </c>
      <c r="B15" s="35" t="s">
        <v>597</v>
      </c>
    </row>
    <row r="16">
      <c r="A16" s="35" t="s">
        <v>599</v>
      </c>
      <c r="B16" s="35" t="s">
        <v>600</v>
      </c>
    </row>
    <row r="17">
      <c r="A17" s="35" t="s">
        <v>602</v>
      </c>
      <c r="B17" s="35" t="s">
        <v>605</v>
      </c>
    </row>
    <row r="18">
      <c r="A18" s="35" t="s">
        <v>607</v>
      </c>
      <c r="B18" s="35" t="s">
        <v>609</v>
      </c>
    </row>
    <row r="19">
      <c r="A19" s="35" t="s">
        <v>610</v>
      </c>
      <c r="B19" s="35" t="s">
        <v>612</v>
      </c>
    </row>
    <row r="20">
      <c r="A20" s="35" t="s">
        <v>614</v>
      </c>
      <c r="B20" s="35" t="s">
        <v>617</v>
      </c>
    </row>
    <row r="21">
      <c r="A21" s="35" t="s">
        <v>618</v>
      </c>
      <c r="B21" s="35" t="s">
        <v>622</v>
      </c>
    </row>
    <row r="22">
      <c r="A22" s="35" t="s">
        <v>624</v>
      </c>
      <c r="B22" s="35" t="s">
        <v>625</v>
      </c>
    </row>
    <row r="23">
      <c r="A23" s="35" t="s">
        <v>628</v>
      </c>
      <c r="B23" s="35" t="s">
        <v>630</v>
      </c>
    </row>
    <row r="24">
      <c r="A24" s="35" t="s">
        <v>632</v>
      </c>
      <c r="B24" s="35" t="s">
        <v>634</v>
      </c>
    </row>
    <row r="25">
      <c r="A25" s="35" t="s">
        <v>635</v>
      </c>
      <c r="B25" s="35" t="s">
        <v>637</v>
      </c>
    </row>
    <row r="26">
      <c r="A26" s="35" t="s">
        <v>639</v>
      </c>
      <c r="B26" s="35" t="s">
        <v>641</v>
      </c>
    </row>
    <row r="27">
      <c r="A27" s="35" t="s">
        <v>643</v>
      </c>
      <c r="B27" s="35" t="s">
        <v>644</v>
      </c>
    </row>
    <row r="28">
      <c r="A28" s="35" t="s">
        <v>645</v>
      </c>
      <c r="B28" s="35" t="s">
        <v>646</v>
      </c>
    </row>
    <row r="29">
      <c r="A29" s="35" t="s">
        <v>648</v>
      </c>
      <c r="B29" s="35" t="s">
        <v>649</v>
      </c>
    </row>
    <row r="30">
      <c r="A30" s="35" t="s">
        <v>651</v>
      </c>
      <c r="B30" s="35" t="s">
        <v>652</v>
      </c>
    </row>
    <row r="31">
      <c r="A31" s="35" t="s">
        <v>653</v>
      </c>
      <c r="B31" s="35" t="s">
        <v>654</v>
      </c>
    </row>
    <row r="32">
      <c r="A32" s="35" t="s">
        <v>656</v>
      </c>
      <c r="B32" s="35" t="s">
        <v>657</v>
      </c>
    </row>
    <row r="33">
      <c r="A33" s="35" t="s">
        <v>659</v>
      </c>
      <c r="B33" s="35" t="s">
        <v>660</v>
      </c>
    </row>
    <row r="34">
      <c r="A34" s="35" t="s">
        <v>661</v>
      </c>
      <c r="B34" s="35" t="s">
        <v>662</v>
      </c>
    </row>
    <row r="35">
      <c r="A35" s="35" t="s">
        <v>665</v>
      </c>
      <c r="B35" s="35" t="s">
        <v>666</v>
      </c>
    </row>
    <row r="36">
      <c r="A36" s="35" t="s">
        <v>668</v>
      </c>
      <c r="B36" s="35" t="s">
        <v>669</v>
      </c>
    </row>
    <row r="37">
      <c r="A37" s="35" t="s">
        <v>670</v>
      </c>
      <c r="B37" s="35" t="s">
        <v>671</v>
      </c>
    </row>
    <row r="38">
      <c r="A38" s="35" t="s">
        <v>673</v>
      </c>
      <c r="B38" s="35" t="s">
        <v>675</v>
      </c>
    </row>
    <row r="39">
      <c r="A39" s="35" t="s">
        <v>676</v>
      </c>
      <c r="B39" s="35" t="s">
        <v>677</v>
      </c>
    </row>
    <row r="40">
      <c r="A40" s="35" t="s">
        <v>679</v>
      </c>
      <c r="B40" s="35" t="s">
        <v>680</v>
      </c>
    </row>
    <row r="41">
      <c r="A41" s="35" t="s">
        <v>681</v>
      </c>
      <c r="B41" s="35" t="s">
        <v>682</v>
      </c>
    </row>
    <row r="42">
      <c r="A42" s="35" t="s">
        <v>683</v>
      </c>
      <c r="B42" s="35" t="s">
        <v>684</v>
      </c>
    </row>
    <row r="43">
      <c r="A43" s="35" t="s">
        <v>685</v>
      </c>
      <c r="B43" s="35" t="s">
        <v>686</v>
      </c>
    </row>
    <row r="44">
      <c r="A44" s="35" t="s">
        <v>687</v>
      </c>
      <c r="B44" s="35" t="s">
        <v>688</v>
      </c>
    </row>
    <row r="45">
      <c r="A45" s="35" t="s">
        <v>690</v>
      </c>
      <c r="B45" s="35" t="s">
        <v>691</v>
      </c>
    </row>
    <row r="46">
      <c r="A46" s="35" t="s">
        <v>693</v>
      </c>
      <c r="B46" s="35" t="s">
        <v>694</v>
      </c>
    </row>
    <row r="47">
      <c r="A47" s="35" t="s">
        <v>695</v>
      </c>
      <c r="B47" s="35" t="s">
        <v>697</v>
      </c>
    </row>
    <row r="48">
      <c r="A48" s="35" t="s">
        <v>698</v>
      </c>
      <c r="B48" s="35" t="s">
        <v>700</v>
      </c>
    </row>
    <row r="49">
      <c r="A49" s="35" t="s">
        <v>701</v>
      </c>
      <c r="B49" s="35" t="s">
        <v>703</v>
      </c>
    </row>
    <row r="50">
      <c r="A50" s="35" t="s">
        <v>704</v>
      </c>
      <c r="B50" s="35" t="s">
        <v>705</v>
      </c>
    </row>
    <row r="51">
      <c r="A51" s="35" t="s">
        <v>707</v>
      </c>
      <c r="B51" s="35" t="s">
        <v>708</v>
      </c>
    </row>
    <row r="52">
      <c r="A52" s="35" t="s">
        <v>709</v>
      </c>
      <c r="B52" s="35" t="s">
        <v>711</v>
      </c>
    </row>
    <row r="53">
      <c r="A53" s="35" t="s">
        <v>712</v>
      </c>
      <c r="B53" s="35" t="s">
        <v>713</v>
      </c>
    </row>
    <row r="54">
      <c r="A54" s="35" t="s">
        <v>715</v>
      </c>
      <c r="B54" s="35" t="s">
        <v>716</v>
      </c>
    </row>
    <row r="55">
      <c r="A55" s="35" t="s">
        <v>718</v>
      </c>
      <c r="B55" s="35" t="s">
        <v>719</v>
      </c>
    </row>
    <row r="56">
      <c r="A56" s="35" t="s">
        <v>721</v>
      </c>
      <c r="B56" s="35" t="s">
        <v>723</v>
      </c>
    </row>
    <row r="57">
      <c r="A57" s="35" t="s">
        <v>724</v>
      </c>
      <c r="B57" s="35" t="s">
        <v>725</v>
      </c>
    </row>
    <row r="58">
      <c r="A58" s="35" t="s">
        <v>727</v>
      </c>
      <c r="B58" s="35" t="s">
        <v>728</v>
      </c>
    </row>
    <row r="59">
      <c r="A59" s="35" t="s">
        <v>730</v>
      </c>
      <c r="B59" s="35" t="s">
        <v>731</v>
      </c>
    </row>
    <row r="60">
      <c r="A60" s="35" t="s">
        <v>733</v>
      </c>
      <c r="B60" s="35" t="s">
        <v>734</v>
      </c>
    </row>
    <row r="61">
      <c r="A61" s="35" t="s">
        <v>735</v>
      </c>
      <c r="B61" s="35" t="s">
        <v>737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6.38"/>
    <col customWidth="1" min="2" max="2" width="24.5"/>
  </cols>
  <sheetData>
    <row r="1" ht="25.5" customHeight="1">
      <c r="A1" s="36" t="s">
        <v>664</v>
      </c>
      <c r="B1" s="37" t="s">
        <v>674</v>
      </c>
    </row>
    <row r="2">
      <c r="A2" s="38" t="s">
        <v>678</v>
      </c>
      <c r="B2" s="39" t="b">
        <v>0</v>
      </c>
    </row>
    <row r="3">
      <c r="A3" s="38" t="s">
        <v>689</v>
      </c>
      <c r="B3" s="39" t="b">
        <v>1</v>
      </c>
    </row>
    <row r="4">
      <c r="A4" s="38" t="s">
        <v>692</v>
      </c>
      <c r="B4" s="39" t="b">
        <v>1</v>
      </c>
    </row>
    <row r="5">
      <c r="A5" s="38" t="s">
        <v>696</v>
      </c>
      <c r="B5" s="39" t="b">
        <v>0</v>
      </c>
    </row>
    <row r="6">
      <c r="A6" s="38" t="s">
        <v>699</v>
      </c>
      <c r="B6" s="39" t="b">
        <v>0</v>
      </c>
    </row>
    <row r="7">
      <c r="A7" s="38" t="s">
        <v>702</v>
      </c>
      <c r="B7" s="39" t="b">
        <v>1</v>
      </c>
    </row>
    <row r="8">
      <c r="A8" s="38" t="s">
        <v>706</v>
      </c>
      <c r="B8" s="39" t="b">
        <v>0</v>
      </c>
    </row>
    <row r="9">
      <c r="A9" s="38" t="s">
        <v>710</v>
      </c>
      <c r="B9" s="39" t="b">
        <v>0</v>
      </c>
    </row>
    <row r="10">
      <c r="A10" s="38" t="s">
        <v>714</v>
      </c>
      <c r="B10" s="39" t="b">
        <v>0</v>
      </c>
    </row>
    <row r="11">
      <c r="A11" s="38" t="s">
        <v>717</v>
      </c>
      <c r="B11" s="39" t="b">
        <v>0</v>
      </c>
    </row>
    <row r="12">
      <c r="A12" s="38" t="s">
        <v>722</v>
      </c>
      <c r="B12" s="39" t="b">
        <v>0</v>
      </c>
    </row>
    <row r="13">
      <c r="A13" s="38" t="s">
        <v>726</v>
      </c>
      <c r="B13" s="39" t="b">
        <v>0</v>
      </c>
    </row>
    <row r="14">
      <c r="A14" s="38" t="s">
        <v>729</v>
      </c>
      <c r="B14" s="39" t="b">
        <v>0</v>
      </c>
    </row>
    <row r="15">
      <c r="A15" s="38" t="s">
        <v>732</v>
      </c>
      <c r="B15" s="39" t="b">
        <v>0</v>
      </c>
    </row>
    <row r="16">
      <c r="A16" s="38" t="s">
        <v>736</v>
      </c>
      <c r="B16" s="39" t="b">
        <v>0</v>
      </c>
    </row>
    <row r="17">
      <c r="A17" s="38" t="s">
        <v>738</v>
      </c>
      <c r="B17" s="39" t="b">
        <v>0</v>
      </c>
    </row>
    <row r="18">
      <c r="A18" s="38" t="s">
        <v>739</v>
      </c>
      <c r="B18" s="39" t="b">
        <v>0</v>
      </c>
    </row>
    <row r="19">
      <c r="A19" s="38" t="s">
        <v>740</v>
      </c>
      <c r="B19" s="39" t="b">
        <v>0</v>
      </c>
    </row>
    <row r="20">
      <c r="A20" s="38" t="s">
        <v>741</v>
      </c>
      <c r="B20" s="39" t="b">
        <v>0</v>
      </c>
    </row>
    <row r="21">
      <c r="A21" s="38" t="s">
        <v>742</v>
      </c>
      <c r="B21" s="39" t="b">
        <v>0</v>
      </c>
    </row>
    <row r="22">
      <c r="A22" s="41" t="s">
        <v>743</v>
      </c>
      <c r="B22" s="42">
        <f>COUNTIF(B2:B21,TRUE)*5</f>
        <v>15</v>
      </c>
    </row>
  </sheetData>
  <printOptions gridLines="1" horizontalCentered="1"/>
  <pageMargins bottom="0.75" footer="0.0" header="0.0" left="0.7" right="0.7" top="0.75"/>
  <pageSetup fitToHeight="0" paperSize="9" cellComments="atEnd" orientation="landscape" pageOrder="overThenDown"/>
  <drawing r:id="rId1"/>
</worksheet>
</file>