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5"/>
    <sheet state="visible" name="Previsão Meta" sheetId="2" r:id="rId6"/>
    <sheet state="visible" name="Previsão Google" sheetId="3" r:id="rId7"/>
  </sheets>
  <definedNames/>
  <calcPr/>
</workbook>
</file>

<file path=xl/sharedStrings.xml><?xml version="1.0" encoding="utf-8"?>
<sst xmlns="http://schemas.openxmlformats.org/spreadsheetml/2006/main" count="155" uniqueCount="59">
  <si>
    <t>TODOS OS CANAIS</t>
  </si>
  <si>
    <t>Dias do mês</t>
  </si>
  <si>
    <t xml:space="preserve">Dias úteis </t>
  </si>
  <si>
    <t>PREMISSAS DE MARKETING</t>
  </si>
  <si>
    <t>Controle investimento</t>
  </si>
  <si>
    <t>Investimento</t>
  </si>
  <si>
    <t>Variação do CPL</t>
  </si>
  <si>
    <t>Custo por Lead</t>
  </si>
  <si>
    <t>Leads Gerados</t>
  </si>
  <si>
    <t>PREMISSAS DE PRÉ-VENDA</t>
  </si>
  <si>
    <t>Leads (Caiu no CRM)</t>
  </si>
  <si>
    <t>Leads &gt; MQL</t>
  </si>
  <si>
    <t>MQL (Interessados)</t>
  </si>
  <si>
    <t>MQL &gt; SQL</t>
  </si>
  <si>
    <t>SQL (Orçamento)</t>
  </si>
  <si>
    <t>PREMISSAS DE VENDAS</t>
  </si>
  <si>
    <t>SQL</t>
  </si>
  <si>
    <t>SQL &gt; Venda</t>
  </si>
  <si>
    <t>Venda</t>
  </si>
  <si>
    <t>Ticket Médio</t>
  </si>
  <si>
    <t>Faturamento</t>
  </si>
  <si>
    <t>LTV</t>
  </si>
  <si>
    <t>KPI</t>
  </si>
  <si>
    <t>ROAS</t>
  </si>
  <si>
    <t>CPL (CAC)</t>
  </si>
  <si>
    <t>CPO</t>
  </si>
  <si>
    <t>CPV</t>
  </si>
  <si>
    <t>DESC.</t>
  </si>
  <si>
    <t>A. ALTA (&gt;70K)</t>
  </si>
  <si>
    <t>B. MÉDIA (15&lt;&gt;70K)</t>
  </si>
  <si>
    <t>C. BAIXA (2K&lt;&gt;15K)</t>
  </si>
  <si>
    <t>TKM</t>
  </si>
  <si>
    <t>SQL (ORÇAMENOS QUALIFICADOS)</t>
  </si>
  <si>
    <t>TX CONVERSÃO</t>
  </si>
  <si>
    <t>VENDAS</t>
  </si>
  <si>
    <t>FATURAMENTO</t>
  </si>
  <si>
    <t>TICKET MÉDIO TOTAL</t>
  </si>
  <si>
    <t>META</t>
  </si>
  <si>
    <t>Leads (No Kommo)</t>
  </si>
  <si>
    <t>MQL (Cadastro no Moskit)</t>
  </si>
  <si>
    <t>OBSERVAÇÕES</t>
  </si>
  <si>
    <t>A princípio, acordamos um investimento de R$ 6.000 no digital, com a divisão, ao menos no mês de janeiro, de 50% para cada canal. O investimento fica fechado para os três primeiros meses. Na planilha, consideramos um aumento gradual a partir de abril de 2026.</t>
  </si>
  <si>
    <t xml:space="preserve">Vamos investir R$ 6.000 nos primeiros três meses, com divisão de 50% para cada canal.
</t>
  </si>
  <si>
    <t>O custo por lead, em janeiro de 2026, terá um aumento de 12,9% (https://centraldovarejo.com.br/aumento-nos-anuncios). Também consideramos um acréscimo de 2,5% em meses específicos, sem impacto relevante no resultado geral.</t>
  </si>
  <si>
    <t>Custo por Lead no período.</t>
  </si>
  <si>
    <t>O volume de leads resulta da divisão do valor do investimento pelo custo por lead.</t>
  </si>
  <si>
    <t>Leads que iniciaram uma conversa pelo WhatsApp.</t>
  </si>
  <si>
    <t>São leads que, após o atendimento no Kommo, passam a se tornar negócios no Moskit (CRM). Ao analisar 179 conversas iniciadas entre setembro e dezembro, 43 se converteram em negócios, o que representa uma taxa de conversão de 24%.</t>
  </si>
  <si>
    <t>Quantidade de negócios cadastrados no Moskit, conforme a taxa de conversão das conversas que passam do Kommo (atendimento) para o CRM (Moskit).</t>
  </si>
  <si>
    <t>Dos 43 negócios analisados entre setembro e dezembro, 38 tiveram orçamento enviado. Assim, consideramos uma taxa de conversão de 88% de MQLs para SQLs, em que SQLs são os leads que receberam o orçamento e entraram na etapa de negociação.</t>
  </si>
  <si>
    <t>Número de negócios que demonstraram interesse e avançaram para a etapa de negociação.</t>
  </si>
  <si>
    <t>Durante o período analisado, os 38 negócios se converteram em 7 vendas, o que resulta em uma taxa de conversão de 18%. Vamos assumir uma taxa de 20%, considerando as melhorias no setor (comercial).</t>
  </si>
  <si>
    <t>Número de vendas, conforme a taxa de conversão de 20% com base no número de SQLs.</t>
  </si>
  <si>
    <t>Consideramos a meta de gerar 26 negócios (faixas A, B e C), com faturamento total de R$ 380.000 e ticket médio de R$ 14.615,00.</t>
  </si>
  <si>
    <t>GOOGLE</t>
  </si>
  <si>
    <t>Consideramos um acréscimo de 2,5% em meses específicos, sem impacto relevante no resultado geral.</t>
  </si>
  <si>
    <t>São leads que, após o atendimento no Kommo, passam a se tornar negócios no Moskit (CRM). Ao analisar 719 conversas iniciadas entre setembro e dezembro, 194 se converteram em negócios, o que representa uma taxa de conversão de 26%.</t>
  </si>
  <si>
    <t>Dos 194 negócios analisados entre setembro e dezembro, 169 tiveram orçamento enviado. Assim, consideramos uma taxa de conversão de 87% de MQLs para SQLs, em que SQLs são os leads que receberam o orçamento e entraram na etapa de negociação.</t>
  </si>
  <si>
    <t>Durante o período analisado, os 169 negócios se converteram em12 vendas, o que resulta em uma taxa de conversão de 7%. Vamos assumir uma taxa de 20%, considerando as melhorias no setor (comercial).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</si>
</sst>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;(#,##0)"/>
    <numFmt numFmtId="165" formatCode="mmmyyyy"/>
    <numFmt numFmtId="166" formatCode="#,##0.00;(#,##0.00)"/>
    <numFmt numFmtId="167" formatCode="[$R$ -416]#,##0.00"/>
    <numFmt numFmtId="168" formatCode="0.0%"/>
  </numFmts>
  <fonts count="1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FFFFFF"/>
      <name val="Arial"/>
    </font>
    <font>
      <b/>
      <i/>
      <sz val="9.0"/>
      <color theme="1"/>
      <name val="Calibri"/>
    </font>
    <font>
      <i/>
      <sz val="9.0"/>
      <color theme="1"/>
      <name val="Calibri"/>
    </font>
    <font>
      <sz val="9.0"/>
      <color theme="1"/>
      <name val="Arial"/>
      <scheme val="minor"/>
    </font>
    <font>
      <color theme="1"/>
      <name val="Calibri"/>
    </font>
    <font>
      <color theme="1"/>
      <name val="Arial"/>
      <scheme val="minor"/>
    </font>
    <font>
      <color rgb="FFFF6D01"/>
      <name val="Arial"/>
    </font>
    <font>
      <color theme="1"/>
      <name val="Arial"/>
    </font>
    <font>
      <color rgb="FFFFFFFF"/>
      <name val="Arial"/>
      <scheme val="minor"/>
    </font>
    <font>
      <b/>
      <color theme="1"/>
      <name val="Arial"/>
      <scheme val="minor"/>
    </font>
    <font>
      <color rgb="FFFF0000"/>
      <name val="Arial"/>
    </font>
    <font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 vertical="bottom"/>
    </xf>
    <xf borderId="0" fillId="2" fontId="2" numFmtId="165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3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3" fontId="6" numFmtId="166" xfId="0" applyAlignment="1" applyFont="1" applyNumberFormat="1">
      <alignment vertical="bottom"/>
    </xf>
    <xf borderId="0" fillId="0" fontId="7" numFmtId="9" xfId="0" applyAlignment="1" applyFont="1" applyNumberFormat="1">
      <alignment readingOrder="0"/>
    </xf>
    <xf borderId="1" fillId="4" fontId="7" numFmtId="167" xfId="0" applyAlignment="1" applyBorder="1" applyFill="1" applyFont="1" applyNumberFormat="1">
      <alignment readingOrder="0"/>
    </xf>
    <xf borderId="0" fillId="0" fontId="7" numFmtId="167" xfId="0" applyFont="1" applyNumberFormat="1"/>
    <xf borderId="0" fillId="0" fontId="7" numFmtId="167" xfId="0" applyAlignment="1" applyFont="1" applyNumberFormat="1">
      <alignment readingOrder="0"/>
    </xf>
    <xf borderId="1" fillId="4" fontId="8" numFmtId="168" xfId="0" applyAlignment="1" applyBorder="1" applyFont="1" applyNumberFormat="1">
      <alignment horizontal="right" readingOrder="0" vertical="bottom"/>
    </xf>
    <xf borderId="0" fillId="3" fontId="8" numFmtId="168" xfId="0" applyAlignment="1" applyFont="1" applyNumberFormat="1">
      <alignment horizontal="right" readingOrder="0" vertical="bottom"/>
    </xf>
    <xf borderId="0" fillId="3" fontId="8" numFmtId="168" xfId="0" applyAlignment="1" applyFont="1" applyNumberFormat="1">
      <alignment horizontal="right" vertical="bottom"/>
    </xf>
    <xf borderId="2" fillId="5" fontId="7" numFmtId="167" xfId="0" applyAlignment="1" applyBorder="1" applyFill="1" applyFont="1" applyNumberFormat="1">
      <alignment readingOrder="0"/>
    </xf>
    <xf borderId="0" fillId="3" fontId="9" numFmtId="167" xfId="0" applyAlignment="1" applyFont="1" applyNumberFormat="1">
      <alignment horizontal="right" readingOrder="0" vertical="center"/>
    </xf>
    <xf borderId="0" fillId="0" fontId="7" numFmtId="164" xfId="0" applyFont="1" applyNumberFormat="1"/>
    <xf borderId="0" fillId="0" fontId="7" numFmtId="164" xfId="0" applyAlignment="1" applyFont="1" applyNumberForma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2" fillId="5" fontId="7" numFmtId="9" xfId="0" applyAlignment="1" applyBorder="1" applyFont="1" applyNumberFormat="1">
      <alignment readingOrder="0"/>
    </xf>
    <xf borderId="0" fillId="0" fontId="7" numFmtId="0" xfId="0" applyFont="1"/>
    <xf borderId="0" fillId="0" fontId="7" numFmtId="10" xfId="0" applyFont="1" applyNumberFormat="1"/>
    <xf borderId="2" fillId="5" fontId="7" numFmtId="0" xfId="0" applyAlignment="1" applyBorder="1" applyFont="1">
      <alignment readingOrder="0"/>
    </xf>
    <xf borderId="0" fillId="0" fontId="10" numFmtId="164" xfId="0" applyFont="1" applyNumberFormat="1"/>
    <xf borderId="0" fillId="0" fontId="7" numFmtId="1" xfId="0" applyAlignment="1" applyFont="1" applyNumberFormat="1">
      <alignment horizontal="center"/>
    </xf>
    <xf borderId="0" fillId="0" fontId="6" numFmtId="1" xfId="0" applyAlignment="1" applyFont="1" applyNumberFormat="1">
      <alignment vertical="bottom"/>
    </xf>
    <xf borderId="0" fillId="0" fontId="7" numFmtId="1" xfId="0" applyFont="1" applyNumberFormat="1"/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0"/>
    </xf>
    <xf borderId="0" fillId="0" fontId="7" numFmtId="167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9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7" xfId="0" applyAlignment="1" applyFont="1" applyNumberFormat="1">
      <alignment shrinkToFit="0" vertical="center" wrapText="0"/>
    </xf>
    <xf borderId="3" fillId="0" fontId="11" numFmtId="0" xfId="0" applyAlignment="1" applyBorder="1" applyFont="1">
      <alignment readingOrder="0" vertical="center"/>
    </xf>
    <xf borderId="4" fillId="0" fontId="7" numFmtId="167" xfId="0" applyAlignment="1" applyBorder="1" applyFont="1" applyNumberFormat="1">
      <alignment vertical="center"/>
    </xf>
    <xf borderId="0" fillId="0" fontId="12" numFmtId="0" xfId="0" applyAlignment="1" applyFont="1">
      <alignment horizontal="center" readingOrder="0" vertical="bottom"/>
    </xf>
    <xf borderId="0" fillId="3" fontId="13" numFmtId="164" xfId="0" applyAlignment="1" applyFont="1" applyNumberFormat="1">
      <alignment horizontal="left" readingOrder="0" shrinkToFit="0" vertical="center" wrapText="1"/>
    </xf>
    <xf borderId="0" fillId="6" fontId="1" numFmtId="0" xfId="0" applyAlignment="1" applyFill="1" applyFont="1">
      <alignment horizontal="center" readingOrder="0" vertical="bottom"/>
    </xf>
    <xf borderId="3" fillId="7" fontId="11" numFmtId="0" xfId="0" applyAlignment="1" applyBorder="1" applyFill="1" applyFont="1">
      <alignment horizontal="center" readingOrder="0" vertical="center"/>
    </xf>
    <xf borderId="5" fillId="0" fontId="14" numFmtId="0" xfId="0" applyBorder="1" applyFont="1"/>
    <xf borderId="4" fillId="0" fontId="14" numFmtId="0" xfId="0" applyBorder="1" applyFont="1"/>
    <xf borderId="6" fillId="0" fontId="5" numFmtId="0" xfId="0" applyAlignment="1" applyBorder="1" applyFont="1">
      <alignment readingOrder="0" vertical="center"/>
    </xf>
    <xf borderId="6" fillId="0" fontId="14" numFmtId="0" xfId="0" applyBorder="1" applyFont="1"/>
    <xf borderId="6" fillId="0" fontId="7" numFmtId="0" xfId="0" applyAlignment="1" applyBorder="1" applyFont="1">
      <alignment horizontal="left" readingOrder="0" shrinkToFit="0" vertical="center" wrapText="1"/>
    </xf>
    <xf borderId="0" fillId="0" fontId="7" numFmtId="0" xfId="0" applyFont="1"/>
    <xf borderId="2" fillId="4" fontId="7" numFmtId="167" xfId="0" applyAlignment="1" applyBorder="1" applyFont="1" applyNumberFormat="1">
      <alignment readingOrder="0"/>
    </xf>
    <xf borderId="0" fillId="0" fontId="10" numFmtId="167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Metas-style">
      <tableStyleElement dxfId="1" type="firstRowStripe"/>
      <tableStyleElement dxfId="2" type="secondRowStripe"/>
    </tableStyle>
    <tableStyle count="4" pivot="0" name="Metas-style 2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2" pivot="0" name="Previsão Meta-style">
      <tableStyleElement dxfId="1" type="firstRowStripe"/>
      <tableStyleElement dxfId="2" type="secondRowStripe"/>
    </tableStyle>
    <tableStyle count="2" pivot="0" name="Previsão Googl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E10:F10" displayName="Table_1" name="Table_1" id="1">
  <tableColumns count="2">
    <tableColumn name="Column1" id="1"/>
    <tableColumn name="Column2" id="2"/>
  </tableColumns>
  <tableStyleInfo name="Metas-style" showColumnStripes="0" showFirstColumn="1" showLastColumn="1" showRowStripes="1"/>
</table>
</file>

<file path=xl/tables/table2.xml><?xml version="1.0" encoding="utf-8"?>
<table xmlns="http://schemas.openxmlformats.org/spreadsheetml/2006/main" ref="C42:F47" displayName="METAS_MENSAIS" name="METAS_MENSAIS" id="2">
  <tableColumns count="4">
    <tableColumn name="DESC." id="1"/>
    <tableColumn name="A. ALTA (&gt;70K)" id="2"/>
    <tableColumn name="B. MÉDIA (15&lt;&gt;70K)" id="3"/>
    <tableColumn name="C. BAIXA (2K&lt;&gt;15K)" id="4"/>
  </tableColumns>
  <tableStyleInfo name="Met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E9:F9" displayName="Table_2" name="Table_2" id="3">
  <tableColumns count="2">
    <tableColumn name="Column1" id="1"/>
    <tableColumn name="Column2" id="2"/>
  </tableColumns>
  <tableStyleInfo name="Previsão Meta-style" showColumnStripes="0" showFirstColumn="1" showLastColumn="1" showRowStripes="1"/>
</table>
</file>

<file path=xl/tables/table4.xml><?xml version="1.0" encoding="utf-8"?>
<table xmlns="http://schemas.openxmlformats.org/spreadsheetml/2006/main" headerRowCount="0" ref="E9:F9" displayName="Table_3" name="Table_3" id="4">
  <tableColumns count="2">
    <tableColumn name="Column1" id="1"/>
    <tableColumn name="Column2" id="2"/>
  </tableColumns>
  <tableStyleInfo name="Previsão Goog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27.75"/>
    <col customWidth="1" min="3" max="5" width="24.75"/>
  </cols>
  <sheetData>
    <row r="2">
      <c r="B2" s="1" t="s">
        <v>0</v>
      </c>
      <c r="E2" s="2">
        <v>46023.0</v>
      </c>
      <c r="F2" s="2">
        <v>46054.0</v>
      </c>
      <c r="G2" s="2">
        <v>46082.0</v>
      </c>
      <c r="H2" s="2">
        <v>46113.0</v>
      </c>
      <c r="I2" s="2">
        <v>46143.0</v>
      </c>
      <c r="J2" s="2">
        <v>46174.0</v>
      </c>
      <c r="K2" s="2">
        <v>46204.0</v>
      </c>
      <c r="L2" s="2">
        <v>46235.0</v>
      </c>
      <c r="M2" s="2">
        <v>46266.0</v>
      </c>
      <c r="N2" s="2">
        <v>46296.0</v>
      </c>
      <c r="O2" s="2">
        <v>46327.0</v>
      </c>
      <c r="P2" s="2">
        <v>46357.0</v>
      </c>
    </row>
    <row r="3">
      <c r="B3" s="3" t="s">
        <v>1</v>
      </c>
      <c r="E3" s="4">
        <v>31.0</v>
      </c>
      <c r="F3" s="4">
        <v>29.0</v>
      </c>
      <c r="G3" s="4">
        <v>31.0</v>
      </c>
      <c r="H3" s="4">
        <v>30.0</v>
      </c>
      <c r="I3" s="4">
        <v>31.0</v>
      </c>
      <c r="J3" s="4">
        <v>30.0</v>
      </c>
      <c r="K3" s="4">
        <v>31.0</v>
      </c>
      <c r="L3" s="4">
        <v>31.0</v>
      </c>
      <c r="M3" s="4">
        <v>30.0</v>
      </c>
      <c r="N3" s="4">
        <v>31.0</v>
      </c>
      <c r="O3" s="4">
        <v>30.0</v>
      </c>
      <c r="P3" s="4">
        <v>31.0</v>
      </c>
    </row>
    <row r="4">
      <c r="B4" s="3" t="s">
        <v>2</v>
      </c>
      <c r="E4" s="4">
        <v>22.0</v>
      </c>
      <c r="F4" s="4">
        <v>20.0</v>
      </c>
      <c r="G4" s="4">
        <v>21.0</v>
      </c>
      <c r="H4" s="4">
        <v>22.0</v>
      </c>
      <c r="I4" s="4">
        <v>22.0</v>
      </c>
      <c r="J4" s="4">
        <v>21.0</v>
      </c>
      <c r="K4" s="4">
        <v>22.0</v>
      </c>
      <c r="L4" s="4">
        <v>22.0</v>
      </c>
      <c r="M4" s="4">
        <v>20.0</v>
      </c>
      <c r="N4" s="4">
        <v>22.0</v>
      </c>
      <c r="O4" s="4">
        <v>21.0</v>
      </c>
      <c r="P4" s="4">
        <v>15.0</v>
      </c>
    </row>
    <row r="5">
      <c r="B5" s="5"/>
      <c r="C5" s="5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B6" s="6" t="s">
        <v>3</v>
      </c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8">
      <c r="B8" s="7" t="s">
        <v>4</v>
      </c>
      <c r="C8" s="8" t="str">
        <f t="shared" ref="C8:C10" si="1">IFERROR(FORMULATEXT(G8),"")</f>
        <v/>
      </c>
      <c r="E8" s="9">
        <v>0.0</v>
      </c>
      <c r="F8" s="9">
        <v>0.0</v>
      </c>
      <c r="G8" s="9">
        <v>0.0</v>
      </c>
      <c r="H8" s="9">
        <v>0.05</v>
      </c>
      <c r="I8" s="9">
        <v>0.05</v>
      </c>
      <c r="J8" s="9">
        <v>0.08</v>
      </c>
      <c r="K8" s="9">
        <v>0.08</v>
      </c>
      <c r="L8" s="9">
        <v>0.08</v>
      </c>
      <c r="M8" s="9">
        <v>0.06</v>
      </c>
      <c r="N8" s="9">
        <v>0.05</v>
      </c>
      <c r="O8" s="9">
        <v>0.05</v>
      </c>
      <c r="P8" s="9">
        <v>0.0</v>
      </c>
    </row>
    <row r="9">
      <c r="B9" s="7" t="s">
        <v>5</v>
      </c>
      <c r="C9" s="8" t="str">
        <f t="shared" si="1"/>
        <v>=F9*(1+G8)</v>
      </c>
      <c r="E9" s="10">
        <v>1000.0</v>
      </c>
      <c r="F9" s="11">
        <f t="shared" ref="F9:K9" si="2">E9*(1+F8)</f>
        <v>1000</v>
      </c>
      <c r="G9" s="11">
        <f t="shared" si="2"/>
        <v>1000</v>
      </c>
      <c r="H9" s="11">
        <f t="shared" si="2"/>
        <v>1050</v>
      </c>
      <c r="I9" s="11">
        <f t="shared" si="2"/>
        <v>1102.5</v>
      </c>
      <c r="J9" s="11">
        <f t="shared" si="2"/>
        <v>1190.7</v>
      </c>
      <c r="K9" s="11">
        <f t="shared" si="2"/>
        <v>1285.956</v>
      </c>
      <c r="L9" s="12">
        <v>2000.0</v>
      </c>
      <c r="M9" s="11">
        <f t="shared" ref="M9:P9" si="3">L9*(1+M8)</f>
        <v>2120</v>
      </c>
      <c r="N9" s="11">
        <f t="shared" si="3"/>
        <v>2226</v>
      </c>
      <c r="O9" s="11">
        <f t="shared" si="3"/>
        <v>2337.3</v>
      </c>
      <c r="P9" s="11">
        <f t="shared" si="3"/>
        <v>2337.3</v>
      </c>
    </row>
    <row r="10">
      <c r="B10" s="7" t="s">
        <v>6</v>
      </c>
      <c r="C10" s="8" t="str">
        <f t="shared" si="1"/>
        <v/>
      </c>
      <c r="E10" s="13">
        <v>0.12</v>
      </c>
      <c r="F10" s="14">
        <v>0.025</v>
      </c>
      <c r="G10" s="14">
        <v>0.025</v>
      </c>
      <c r="H10" s="14">
        <v>0.025</v>
      </c>
      <c r="I10" s="14">
        <v>0.025</v>
      </c>
      <c r="J10" s="14">
        <v>0.025</v>
      </c>
      <c r="K10" s="15">
        <v>0.0</v>
      </c>
      <c r="L10" s="15">
        <v>0.0</v>
      </c>
      <c r="M10" s="14">
        <v>0.025</v>
      </c>
      <c r="N10" s="14">
        <v>0.025</v>
      </c>
      <c r="O10" s="14">
        <v>0.025</v>
      </c>
      <c r="P10" s="14">
        <v>0.025</v>
      </c>
    </row>
    <row r="11">
      <c r="B11" s="7" t="s">
        <v>7</v>
      </c>
      <c r="C11" s="16">
        <f>('Previsão Meta'!C10+'Previsão Google'!E10)/2</f>
        <v>11.5</v>
      </c>
      <c r="E11" s="17">
        <v>15.0</v>
      </c>
      <c r="F11" s="17">
        <f t="shared" ref="F11:K11" si="4">ROUND(E11*(1+F10),0)</f>
        <v>15</v>
      </c>
      <c r="G11" s="17">
        <f t="shared" si="4"/>
        <v>15</v>
      </c>
      <c r="H11" s="17">
        <f t="shared" si="4"/>
        <v>15</v>
      </c>
      <c r="I11" s="17">
        <f t="shared" si="4"/>
        <v>15</v>
      </c>
      <c r="J11" s="17">
        <f t="shared" si="4"/>
        <v>15</v>
      </c>
      <c r="K11" s="17">
        <f t="shared" si="4"/>
        <v>15</v>
      </c>
      <c r="L11" s="17">
        <v>17.0</v>
      </c>
      <c r="M11" s="17">
        <f t="shared" ref="M11:P11" si="5">ROUND(L11*(1+M10),0)</f>
        <v>17</v>
      </c>
      <c r="N11" s="17">
        <f t="shared" si="5"/>
        <v>17</v>
      </c>
      <c r="O11" s="17">
        <f t="shared" si="5"/>
        <v>17</v>
      </c>
      <c r="P11" s="17">
        <f t="shared" si="5"/>
        <v>17</v>
      </c>
    </row>
    <row r="12">
      <c r="B12" s="7" t="s">
        <v>8</v>
      </c>
      <c r="C12" s="8" t="str">
        <f>IFERROR(FORMULATEXT(G12),"")</f>
        <v>=ROUND(G9/G11)</v>
      </c>
      <c r="E12" s="18">
        <f>ROUND(E9/C11,0)</f>
        <v>87</v>
      </c>
      <c r="F12" s="18">
        <f t="shared" ref="F12:K12" si="6">ROUND(F9/F11,0)</f>
        <v>67</v>
      </c>
      <c r="G12" s="18">
        <f t="shared" si="6"/>
        <v>67</v>
      </c>
      <c r="H12" s="18">
        <f t="shared" si="6"/>
        <v>70</v>
      </c>
      <c r="I12" s="18">
        <f t="shared" si="6"/>
        <v>74</v>
      </c>
      <c r="J12" s="18">
        <f t="shared" si="6"/>
        <v>79</v>
      </c>
      <c r="K12" s="18">
        <f t="shared" si="6"/>
        <v>86</v>
      </c>
      <c r="L12" s="19">
        <v>35.0</v>
      </c>
      <c r="M12" s="18">
        <f t="shared" ref="M12:P12" si="7">ROUND(M9/M11,0)</f>
        <v>125</v>
      </c>
      <c r="N12" s="18">
        <f t="shared" si="7"/>
        <v>131</v>
      </c>
      <c r="O12" s="18">
        <f t="shared" si="7"/>
        <v>137</v>
      </c>
      <c r="P12" s="18">
        <f t="shared" si="7"/>
        <v>137</v>
      </c>
    </row>
    <row r="13">
      <c r="P13" s="20"/>
    </row>
    <row r="14">
      <c r="B14" s="6" t="s">
        <v>9</v>
      </c>
      <c r="P14" s="21"/>
    </row>
    <row r="15">
      <c r="P15" s="21"/>
    </row>
    <row r="16">
      <c r="B16" s="7" t="s">
        <v>10</v>
      </c>
      <c r="C16" s="8" t="str">
        <f t="shared" ref="C16:C20" si="9">IFERROR(FORMULATEXT(G16),"")</f>
        <v>=G12</v>
      </c>
      <c r="E16" s="18">
        <f t="shared" ref="E16:P16" si="8">E12</f>
        <v>87</v>
      </c>
      <c r="F16" s="18">
        <f t="shared" si="8"/>
        <v>67</v>
      </c>
      <c r="G16" s="18">
        <f t="shared" si="8"/>
        <v>67</v>
      </c>
      <c r="H16" s="18">
        <f t="shared" si="8"/>
        <v>70</v>
      </c>
      <c r="I16" s="18">
        <f t="shared" si="8"/>
        <v>74</v>
      </c>
      <c r="J16" s="18">
        <f t="shared" si="8"/>
        <v>79</v>
      </c>
      <c r="K16" s="18">
        <f t="shared" si="8"/>
        <v>86</v>
      </c>
      <c r="L16" s="18">
        <f t="shared" si="8"/>
        <v>35</v>
      </c>
      <c r="M16" s="18">
        <f t="shared" si="8"/>
        <v>125</v>
      </c>
      <c r="N16" s="18">
        <f t="shared" si="8"/>
        <v>131</v>
      </c>
      <c r="O16" s="18">
        <f t="shared" si="8"/>
        <v>137</v>
      </c>
      <c r="P16" s="18">
        <f t="shared" si="8"/>
        <v>137</v>
      </c>
    </row>
    <row r="17">
      <c r="B17" s="7" t="s">
        <v>11</v>
      </c>
      <c r="C17" s="8" t="str">
        <f t="shared" si="9"/>
        <v/>
      </c>
      <c r="E17" s="22">
        <v>0.3</v>
      </c>
      <c r="F17" s="22">
        <v>0.3</v>
      </c>
      <c r="G17" s="22">
        <v>0.3</v>
      </c>
      <c r="H17" s="22">
        <v>0.3</v>
      </c>
      <c r="I17" s="22">
        <v>0.3</v>
      </c>
      <c r="J17" s="22">
        <v>0.3</v>
      </c>
      <c r="K17" s="22">
        <v>0.3</v>
      </c>
      <c r="L17" s="22">
        <v>0.35</v>
      </c>
      <c r="M17" s="22">
        <v>0.35</v>
      </c>
      <c r="N17" s="22">
        <v>0.35</v>
      </c>
      <c r="O17" s="22">
        <v>0.35</v>
      </c>
      <c r="P17" s="22">
        <v>0.3</v>
      </c>
    </row>
    <row r="18">
      <c r="B18" s="7" t="s">
        <v>12</v>
      </c>
      <c r="C18" s="8" t="str">
        <f t="shared" si="9"/>
        <v>=ROUND((G16*G17))</v>
      </c>
      <c r="E18" s="23">
        <f t="shared" ref="E18:P18" si="10">ROUND((E16*E17),0)</f>
        <v>26</v>
      </c>
      <c r="F18" s="23">
        <f t="shared" si="10"/>
        <v>20</v>
      </c>
      <c r="G18" s="23">
        <f t="shared" si="10"/>
        <v>20</v>
      </c>
      <c r="H18" s="23">
        <f t="shared" si="10"/>
        <v>21</v>
      </c>
      <c r="I18" s="23">
        <f t="shared" si="10"/>
        <v>22</v>
      </c>
      <c r="J18" s="23">
        <f t="shared" si="10"/>
        <v>24</v>
      </c>
      <c r="K18" s="23">
        <f t="shared" si="10"/>
        <v>26</v>
      </c>
      <c r="L18" s="23">
        <f t="shared" si="10"/>
        <v>12</v>
      </c>
      <c r="M18" s="23">
        <f t="shared" si="10"/>
        <v>44</v>
      </c>
      <c r="N18" s="23">
        <f t="shared" si="10"/>
        <v>46</v>
      </c>
      <c r="O18" s="23">
        <f t="shared" si="10"/>
        <v>48</v>
      </c>
      <c r="P18" s="23">
        <f t="shared" si="10"/>
        <v>41</v>
      </c>
    </row>
    <row r="19">
      <c r="B19" s="7" t="s">
        <v>13</v>
      </c>
      <c r="C19" s="8" t="str">
        <f t="shared" si="9"/>
        <v/>
      </c>
      <c r="E19" s="22">
        <v>0.88</v>
      </c>
      <c r="F19" s="22">
        <v>0.88</v>
      </c>
      <c r="G19" s="22">
        <v>0.88</v>
      </c>
      <c r="H19" s="22">
        <v>0.88</v>
      </c>
      <c r="I19" s="22">
        <v>0.88</v>
      </c>
      <c r="J19" s="22">
        <v>0.88</v>
      </c>
      <c r="K19" s="22">
        <v>0.88</v>
      </c>
      <c r="L19" s="22">
        <v>0.88</v>
      </c>
      <c r="M19" s="22">
        <v>0.88</v>
      </c>
      <c r="N19" s="22">
        <v>0.88</v>
      </c>
      <c r="O19" s="22">
        <v>0.88</v>
      </c>
      <c r="P19" s="22">
        <v>0.88</v>
      </c>
    </row>
    <row r="20">
      <c r="B20" s="7" t="s">
        <v>14</v>
      </c>
      <c r="C20" s="8" t="str">
        <f t="shared" si="9"/>
        <v>=ROUND(G18*G19)</v>
      </c>
      <c r="E20" s="23">
        <f t="shared" ref="E20:P20" si="11">ROUND(E18*E19,0)</f>
        <v>23</v>
      </c>
      <c r="F20" s="23">
        <f t="shared" si="11"/>
        <v>18</v>
      </c>
      <c r="G20" s="23">
        <f t="shared" si="11"/>
        <v>18</v>
      </c>
      <c r="H20" s="23">
        <f t="shared" si="11"/>
        <v>18</v>
      </c>
      <c r="I20" s="23">
        <f t="shared" si="11"/>
        <v>19</v>
      </c>
      <c r="J20" s="23">
        <f t="shared" si="11"/>
        <v>21</v>
      </c>
      <c r="K20" s="23">
        <f t="shared" si="11"/>
        <v>23</v>
      </c>
      <c r="L20" s="23">
        <f t="shared" si="11"/>
        <v>11</v>
      </c>
      <c r="M20" s="23">
        <f t="shared" si="11"/>
        <v>39</v>
      </c>
      <c r="N20" s="23">
        <f t="shared" si="11"/>
        <v>40</v>
      </c>
      <c r="O20" s="23">
        <f t="shared" si="11"/>
        <v>42</v>
      </c>
      <c r="P20" s="23">
        <f t="shared" si="11"/>
        <v>36</v>
      </c>
    </row>
    <row r="21">
      <c r="E21" s="24">
        <f>E20/E16</f>
        <v>0.2643678161</v>
      </c>
      <c r="P21" s="21"/>
    </row>
    <row r="22">
      <c r="B22" s="6" t="s">
        <v>15</v>
      </c>
      <c r="P22" s="21"/>
    </row>
    <row r="24">
      <c r="B24" s="7" t="s">
        <v>16</v>
      </c>
      <c r="C24" s="8" t="str">
        <f t="shared" ref="C24:C28" si="13">IFERROR(FORMULATEXT(G24),"")</f>
        <v>=G20</v>
      </c>
      <c r="E24" s="23">
        <f t="shared" ref="E24:P24" si="12">E20</f>
        <v>23</v>
      </c>
      <c r="F24" s="23">
        <f t="shared" si="12"/>
        <v>18</v>
      </c>
      <c r="G24" s="23">
        <f t="shared" si="12"/>
        <v>18</v>
      </c>
      <c r="H24" s="23">
        <f t="shared" si="12"/>
        <v>18</v>
      </c>
      <c r="I24" s="23">
        <f t="shared" si="12"/>
        <v>19</v>
      </c>
      <c r="J24" s="23">
        <f t="shared" si="12"/>
        <v>21</v>
      </c>
      <c r="K24" s="23">
        <f t="shared" si="12"/>
        <v>23</v>
      </c>
      <c r="L24" s="23">
        <f t="shared" si="12"/>
        <v>11</v>
      </c>
      <c r="M24" s="23">
        <f t="shared" si="12"/>
        <v>39</v>
      </c>
      <c r="N24" s="23">
        <f t="shared" si="12"/>
        <v>40</v>
      </c>
      <c r="O24" s="23">
        <f t="shared" si="12"/>
        <v>42</v>
      </c>
      <c r="P24" s="23">
        <f t="shared" si="12"/>
        <v>36</v>
      </c>
    </row>
    <row r="25">
      <c r="B25" s="7" t="s">
        <v>17</v>
      </c>
      <c r="C25" s="8" t="str">
        <f t="shared" si="13"/>
        <v/>
      </c>
      <c r="E25" s="22">
        <v>0.2</v>
      </c>
      <c r="F25" s="22">
        <v>0.2</v>
      </c>
      <c r="G25" s="22">
        <v>0.2</v>
      </c>
      <c r="H25" s="22">
        <v>0.2</v>
      </c>
      <c r="I25" s="22">
        <v>0.2</v>
      </c>
      <c r="J25" s="22">
        <v>0.2</v>
      </c>
      <c r="K25" s="22">
        <v>0.2</v>
      </c>
      <c r="L25" s="22">
        <v>0.2</v>
      </c>
      <c r="M25" s="22">
        <v>0.2</v>
      </c>
      <c r="N25" s="22">
        <v>0.2</v>
      </c>
      <c r="O25" s="22">
        <v>0.2</v>
      </c>
      <c r="P25" s="22">
        <v>0.2</v>
      </c>
    </row>
    <row r="26">
      <c r="B26" s="7" t="s">
        <v>18</v>
      </c>
      <c r="C26" s="8" t="str">
        <f t="shared" si="13"/>
        <v>=ROUND(G24*G25)</v>
      </c>
      <c r="E26" s="23">
        <f t="shared" ref="E26:P26" si="14">ROUND(E24*E25,0)</f>
        <v>5</v>
      </c>
      <c r="F26" s="23">
        <f t="shared" si="14"/>
        <v>4</v>
      </c>
      <c r="G26" s="23">
        <f t="shared" si="14"/>
        <v>4</v>
      </c>
      <c r="H26" s="23">
        <f t="shared" si="14"/>
        <v>4</v>
      </c>
      <c r="I26" s="23">
        <f t="shared" si="14"/>
        <v>4</v>
      </c>
      <c r="J26" s="23">
        <f t="shared" si="14"/>
        <v>4</v>
      </c>
      <c r="K26" s="23">
        <f t="shared" si="14"/>
        <v>5</v>
      </c>
      <c r="L26" s="23">
        <f t="shared" si="14"/>
        <v>2</v>
      </c>
      <c r="M26" s="23">
        <f t="shared" si="14"/>
        <v>8</v>
      </c>
      <c r="N26" s="23">
        <f t="shared" si="14"/>
        <v>8</v>
      </c>
      <c r="O26" s="23">
        <f t="shared" si="14"/>
        <v>8</v>
      </c>
      <c r="P26" s="23">
        <f t="shared" si="14"/>
        <v>7</v>
      </c>
    </row>
    <row r="27">
      <c r="B27" s="7" t="s">
        <v>19</v>
      </c>
      <c r="C27" s="8" t="str">
        <f t="shared" si="13"/>
        <v>=F27</v>
      </c>
      <c r="E27" s="16">
        <v>12000.0</v>
      </c>
      <c r="F27" s="12">
        <f t="shared" ref="F27:P27" si="15">E27</f>
        <v>12000</v>
      </c>
      <c r="G27" s="12">
        <f t="shared" si="15"/>
        <v>12000</v>
      </c>
      <c r="H27" s="12">
        <f t="shared" si="15"/>
        <v>12000</v>
      </c>
      <c r="I27" s="12">
        <f t="shared" si="15"/>
        <v>12000</v>
      </c>
      <c r="J27" s="12">
        <f t="shared" si="15"/>
        <v>12000</v>
      </c>
      <c r="K27" s="12">
        <f t="shared" si="15"/>
        <v>12000</v>
      </c>
      <c r="L27" s="12">
        <f t="shared" si="15"/>
        <v>12000</v>
      </c>
      <c r="M27" s="12">
        <f t="shared" si="15"/>
        <v>12000</v>
      </c>
      <c r="N27" s="12">
        <f t="shared" si="15"/>
        <v>12000</v>
      </c>
      <c r="O27" s="12">
        <f t="shared" si="15"/>
        <v>12000</v>
      </c>
      <c r="P27" s="12">
        <f t="shared" si="15"/>
        <v>12000</v>
      </c>
    </row>
    <row r="28">
      <c r="B28" s="7" t="s">
        <v>20</v>
      </c>
      <c r="C28" s="8" t="str">
        <f t="shared" si="13"/>
        <v>=G26*G27</v>
      </c>
      <c r="E28" s="11">
        <f t="shared" ref="E28:P28" si="16">E26*E27</f>
        <v>60000</v>
      </c>
      <c r="F28" s="11">
        <f t="shared" si="16"/>
        <v>48000</v>
      </c>
      <c r="G28" s="11">
        <f t="shared" si="16"/>
        <v>48000</v>
      </c>
      <c r="H28" s="11">
        <f t="shared" si="16"/>
        <v>48000</v>
      </c>
      <c r="I28" s="11">
        <f t="shared" si="16"/>
        <v>48000</v>
      </c>
      <c r="J28" s="11">
        <f t="shared" si="16"/>
        <v>48000</v>
      </c>
      <c r="K28" s="11">
        <f t="shared" si="16"/>
        <v>60000</v>
      </c>
      <c r="L28" s="11">
        <f t="shared" si="16"/>
        <v>24000</v>
      </c>
      <c r="M28" s="11">
        <f t="shared" si="16"/>
        <v>96000</v>
      </c>
      <c r="N28" s="11">
        <f t="shared" si="16"/>
        <v>96000</v>
      </c>
      <c r="O28" s="11">
        <f t="shared" si="16"/>
        <v>96000</v>
      </c>
      <c r="P28" s="11">
        <f t="shared" si="16"/>
        <v>84000</v>
      </c>
    </row>
    <row r="29">
      <c r="B29" s="7" t="s">
        <v>21</v>
      </c>
      <c r="C29" s="25">
        <v>1.0</v>
      </c>
      <c r="E29" s="26">
        <f t="shared" ref="E29:P29" si="17">E28*$C$19</f>
        <v>0</v>
      </c>
      <c r="F29" s="26">
        <f t="shared" si="17"/>
        <v>0</v>
      </c>
      <c r="G29" s="26">
        <f t="shared" si="17"/>
        <v>0</v>
      </c>
      <c r="H29" s="26">
        <f t="shared" si="17"/>
        <v>0</v>
      </c>
      <c r="I29" s="26">
        <f t="shared" si="17"/>
        <v>0</v>
      </c>
      <c r="J29" s="26">
        <f t="shared" si="17"/>
        <v>0</v>
      </c>
      <c r="K29" s="26">
        <f t="shared" si="17"/>
        <v>0</v>
      </c>
      <c r="L29" s="26">
        <f t="shared" si="17"/>
        <v>0</v>
      </c>
      <c r="M29" s="26">
        <f t="shared" si="17"/>
        <v>0</v>
      </c>
      <c r="N29" s="26">
        <f t="shared" si="17"/>
        <v>0</v>
      </c>
      <c r="O29" s="26">
        <f t="shared" si="17"/>
        <v>0</v>
      </c>
      <c r="P29" s="26">
        <f t="shared" si="17"/>
        <v>0</v>
      </c>
    </row>
    <row r="30">
      <c r="F30" s="27"/>
    </row>
    <row r="31">
      <c r="B31" s="6" t="s">
        <v>22</v>
      </c>
      <c r="D31" s="28"/>
    </row>
    <row r="33">
      <c r="B33" s="7" t="s">
        <v>23</v>
      </c>
      <c r="E33" s="29">
        <f t="shared" ref="E33:P33" si="18">E28/E9</f>
        <v>60</v>
      </c>
      <c r="F33" s="29">
        <f t="shared" si="18"/>
        <v>48</v>
      </c>
      <c r="G33" s="29">
        <f t="shared" si="18"/>
        <v>48</v>
      </c>
      <c r="H33" s="29">
        <f t="shared" si="18"/>
        <v>45.71428571</v>
      </c>
      <c r="I33" s="29">
        <f t="shared" si="18"/>
        <v>43.53741497</v>
      </c>
      <c r="J33" s="29">
        <f t="shared" si="18"/>
        <v>40.31242126</v>
      </c>
      <c r="K33" s="29">
        <f t="shared" si="18"/>
        <v>46.65789498</v>
      </c>
      <c r="L33" s="29">
        <f t="shared" si="18"/>
        <v>12</v>
      </c>
      <c r="M33" s="29">
        <f t="shared" si="18"/>
        <v>45.28301887</v>
      </c>
      <c r="N33" s="29">
        <f t="shared" si="18"/>
        <v>43.12668464</v>
      </c>
      <c r="O33" s="29">
        <f t="shared" si="18"/>
        <v>41.07303299</v>
      </c>
      <c r="P33" s="29">
        <f t="shared" si="18"/>
        <v>35.93890386</v>
      </c>
    </row>
    <row r="34">
      <c r="B34" s="7" t="s">
        <v>24</v>
      </c>
      <c r="C34" s="16">
        <f>5750</f>
        <v>5750</v>
      </c>
      <c r="E34" s="11">
        <f t="shared" ref="E34:P34" si="19">($C$34+E9)/E12</f>
        <v>77.5862069</v>
      </c>
      <c r="F34" s="11">
        <f t="shared" si="19"/>
        <v>100.7462687</v>
      </c>
      <c r="G34" s="11">
        <f t="shared" si="19"/>
        <v>100.7462687</v>
      </c>
      <c r="H34" s="11">
        <f t="shared" si="19"/>
        <v>97.14285714</v>
      </c>
      <c r="I34" s="11">
        <f t="shared" si="19"/>
        <v>92.60135135</v>
      </c>
      <c r="J34" s="11">
        <f t="shared" si="19"/>
        <v>87.85696203</v>
      </c>
      <c r="K34" s="11">
        <f t="shared" si="19"/>
        <v>81.81344186</v>
      </c>
      <c r="L34" s="11">
        <f t="shared" si="19"/>
        <v>221.4285714</v>
      </c>
      <c r="M34" s="11">
        <f t="shared" si="19"/>
        <v>62.96</v>
      </c>
      <c r="N34" s="11">
        <f t="shared" si="19"/>
        <v>60.88549618</v>
      </c>
      <c r="O34" s="11">
        <f t="shared" si="19"/>
        <v>59.03138686</v>
      </c>
      <c r="P34" s="11">
        <f t="shared" si="19"/>
        <v>59.03138686</v>
      </c>
    </row>
    <row r="35">
      <c r="B35" s="7" t="s">
        <v>25</v>
      </c>
      <c r="E35" s="11">
        <f t="shared" ref="E35:P35" si="20">($C$34+E9)/E18</f>
        <v>259.6153846</v>
      </c>
      <c r="F35" s="11">
        <f t="shared" si="20"/>
        <v>337.5</v>
      </c>
      <c r="G35" s="11">
        <f t="shared" si="20"/>
        <v>337.5</v>
      </c>
      <c r="H35" s="11">
        <f t="shared" si="20"/>
        <v>323.8095238</v>
      </c>
      <c r="I35" s="11">
        <f t="shared" si="20"/>
        <v>311.4772727</v>
      </c>
      <c r="J35" s="11">
        <f t="shared" si="20"/>
        <v>289.1958333</v>
      </c>
      <c r="K35" s="11">
        <f t="shared" si="20"/>
        <v>270.6136923</v>
      </c>
      <c r="L35" s="11">
        <f t="shared" si="20"/>
        <v>645.8333333</v>
      </c>
      <c r="M35" s="11">
        <f t="shared" si="20"/>
        <v>178.8636364</v>
      </c>
      <c r="N35" s="11">
        <f t="shared" si="20"/>
        <v>173.3913043</v>
      </c>
      <c r="O35" s="11">
        <f t="shared" si="20"/>
        <v>168.4854167</v>
      </c>
      <c r="P35" s="11">
        <f t="shared" si="20"/>
        <v>197.2512195</v>
      </c>
    </row>
    <row r="36">
      <c r="B36" s="7" t="s">
        <v>26</v>
      </c>
      <c r="E36" s="11">
        <f t="shared" ref="E36:P36" si="21">($C$34+E9)/E26</f>
        <v>1350</v>
      </c>
      <c r="F36" s="11">
        <f t="shared" si="21"/>
        <v>1687.5</v>
      </c>
      <c r="G36" s="11">
        <f t="shared" si="21"/>
        <v>1687.5</v>
      </c>
      <c r="H36" s="11">
        <f t="shared" si="21"/>
        <v>1700</v>
      </c>
      <c r="I36" s="11">
        <f t="shared" si="21"/>
        <v>1713.125</v>
      </c>
      <c r="J36" s="11">
        <f t="shared" si="21"/>
        <v>1735.175</v>
      </c>
      <c r="K36" s="11">
        <f t="shared" si="21"/>
        <v>1407.1912</v>
      </c>
      <c r="L36" s="11">
        <f t="shared" si="21"/>
        <v>3875</v>
      </c>
      <c r="M36" s="11">
        <f t="shared" si="21"/>
        <v>983.75</v>
      </c>
      <c r="N36" s="11">
        <f t="shared" si="21"/>
        <v>997</v>
      </c>
      <c r="O36" s="11">
        <f t="shared" si="21"/>
        <v>1010.9125</v>
      </c>
      <c r="P36" s="11">
        <f t="shared" si="21"/>
        <v>1155.328571</v>
      </c>
    </row>
    <row r="41" hidden="1"/>
    <row r="42" ht="22.5" hidden="1" customHeight="1">
      <c r="C42" s="30" t="s">
        <v>27</v>
      </c>
      <c r="D42" s="31" t="s">
        <v>28</v>
      </c>
      <c r="E42" s="31" t="s">
        <v>29</v>
      </c>
      <c r="F42" s="31" t="s">
        <v>30</v>
      </c>
    </row>
    <row r="43" ht="22.5" hidden="1" customHeight="1">
      <c r="C43" s="32" t="s">
        <v>31</v>
      </c>
      <c r="D43" s="33">
        <v>110000.0</v>
      </c>
      <c r="E43" s="33">
        <v>30000.0</v>
      </c>
      <c r="F43" s="33">
        <v>6000.0</v>
      </c>
    </row>
    <row r="44" ht="22.5" hidden="1" customHeight="1">
      <c r="C44" s="32" t="s">
        <v>32</v>
      </c>
      <c r="D44" s="34">
        <v>10.0</v>
      </c>
      <c r="E44" s="34">
        <v>50.0</v>
      </c>
      <c r="F44" s="34">
        <v>200.0</v>
      </c>
    </row>
    <row r="45" ht="22.5" hidden="1" customHeight="1">
      <c r="C45" s="32" t="s">
        <v>33</v>
      </c>
      <c r="D45" s="35">
        <v>0.1</v>
      </c>
      <c r="E45" s="35">
        <v>0.1</v>
      </c>
      <c r="F45" s="35">
        <v>0.1</v>
      </c>
    </row>
    <row r="46" ht="22.5" hidden="1" customHeight="1">
      <c r="C46" s="32" t="s">
        <v>34</v>
      </c>
      <c r="D46" s="36">
        <f t="shared" ref="D46:F46" si="22">D44*D45</f>
        <v>1</v>
      </c>
      <c r="E46" s="36">
        <f t="shared" si="22"/>
        <v>5</v>
      </c>
      <c r="F46" s="36">
        <f t="shared" si="22"/>
        <v>20</v>
      </c>
    </row>
    <row r="47" ht="22.5" hidden="1" customHeight="1">
      <c r="C47" s="32" t="s">
        <v>35</v>
      </c>
      <c r="D47" s="37">
        <f t="shared" ref="D47:F47" si="23">D43*D46</f>
        <v>110000</v>
      </c>
      <c r="E47" s="37">
        <f t="shared" si="23"/>
        <v>150000</v>
      </c>
      <c r="F47" s="37">
        <f t="shared" si="23"/>
        <v>120000</v>
      </c>
    </row>
    <row r="48" hidden="1"/>
    <row r="49" ht="19.5" hidden="1" customHeight="1">
      <c r="C49" s="38" t="s">
        <v>36</v>
      </c>
      <c r="D49" s="39">
        <f>SUM(D47:F47)/SUM(D46:F46)</f>
        <v>14615.38462</v>
      </c>
    </row>
  </sheetData>
  <mergeCells count="5">
    <mergeCell ref="B2:D2"/>
    <mergeCell ref="B6:C6"/>
    <mergeCell ref="B14:C14"/>
    <mergeCell ref="B22:C22"/>
    <mergeCell ref="B31:C3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25.75"/>
    <col customWidth="1" min="3" max="3" width="14.88"/>
    <col customWidth="1" min="4" max="4" width="3.63"/>
    <col customWidth="1" min="19" max="19" width="22.13"/>
  </cols>
  <sheetData>
    <row r="1">
      <c r="B1" s="1" t="s">
        <v>37</v>
      </c>
      <c r="E1" s="2">
        <v>46023.0</v>
      </c>
      <c r="F1" s="2">
        <v>46054.0</v>
      </c>
      <c r="G1" s="2">
        <v>46082.0</v>
      </c>
      <c r="H1" s="2">
        <v>46113.0</v>
      </c>
      <c r="I1" s="2">
        <v>46143.0</v>
      </c>
      <c r="J1" s="2">
        <v>46174.0</v>
      </c>
      <c r="K1" s="2">
        <v>46204.0</v>
      </c>
      <c r="L1" s="2">
        <v>46235.0</v>
      </c>
      <c r="M1" s="2">
        <v>46266.0</v>
      </c>
      <c r="N1" s="2">
        <v>46296.0</v>
      </c>
      <c r="O1" s="2">
        <v>46327.0</v>
      </c>
      <c r="P1" s="2">
        <v>46357.0</v>
      </c>
    </row>
    <row r="2">
      <c r="B2" s="3" t="s">
        <v>1</v>
      </c>
      <c r="E2" s="4">
        <v>31.0</v>
      </c>
      <c r="F2" s="4">
        <v>29.0</v>
      </c>
      <c r="G2" s="4">
        <v>31.0</v>
      </c>
      <c r="H2" s="4">
        <v>30.0</v>
      </c>
      <c r="I2" s="4">
        <v>31.0</v>
      </c>
      <c r="J2" s="4">
        <v>30.0</v>
      </c>
      <c r="K2" s="4">
        <v>31.0</v>
      </c>
      <c r="L2" s="4">
        <v>31.0</v>
      </c>
      <c r="M2" s="4">
        <v>30.0</v>
      </c>
      <c r="N2" s="4">
        <v>31.0</v>
      </c>
      <c r="O2" s="4">
        <v>30.0</v>
      </c>
      <c r="P2" s="4">
        <v>31.0</v>
      </c>
    </row>
    <row r="3">
      <c r="B3" s="3" t="s">
        <v>2</v>
      </c>
      <c r="E3" s="4">
        <v>22.0</v>
      </c>
      <c r="F3" s="4">
        <v>20.0</v>
      </c>
      <c r="G3" s="4">
        <v>21.0</v>
      </c>
      <c r="H3" s="4">
        <v>22.0</v>
      </c>
      <c r="I3" s="4">
        <v>22.0</v>
      </c>
      <c r="J3" s="4">
        <v>21.0</v>
      </c>
      <c r="K3" s="4">
        <v>22.0</v>
      </c>
      <c r="L3" s="4">
        <v>22.0</v>
      </c>
      <c r="M3" s="4">
        <v>20.0</v>
      </c>
      <c r="N3" s="4">
        <v>22.0</v>
      </c>
      <c r="O3" s="4">
        <v>21.0</v>
      </c>
      <c r="P3" s="4">
        <v>15.0</v>
      </c>
    </row>
    <row r="4">
      <c r="B4" s="5"/>
      <c r="C4" s="5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B5" s="6" t="s">
        <v>3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7">
      <c r="B7" s="7" t="s">
        <v>4</v>
      </c>
      <c r="C7" s="8" t="str">
        <f t="shared" ref="C7:C9" si="1">IFERROR(FORMULATEXT(G7),"")</f>
        <v/>
      </c>
      <c r="E7" s="9">
        <v>0.0</v>
      </c>
      <c r="F7" s="9">
        <v>0.0</v>
      </c>
      <c r="G7" s="9">
        <v>0.0</v>
      </c>
      <c r="H7" s="9">
        <v>0.05</v>
      </c>
      <c r="I7" s="9">
        <v>0.05</v>
      </c>
      <c r="J7" s="9">
        <v>0.08</v>
      </c>
      <c r="K7" s="9">
        <v>0.08</v>
      </c>
      <c r="L7" s="9">
        <v>0.08</v>
      </c>
      <c r="M7" s="9">
        <v>0.06</v>
      </c>
      <c r="N7" s="9">
        <v>0.05</v>
      </c>
      <c r="O7" s="9">
        <v>0.05</v>
      </c>
      <c r="P7" s="9">
        <v>0.0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</row>
    <row r="8">
      <c r="B8" s="7" t="s">
        <v>5</v>
      </c>
      <c r="C8" s="8" t="str">
        <f t="shared" si="1"/>
        <v>=F8*(1+G7)</v>
      </c>
      <c r="E8" s="10">
        <v>1000.0</v>
      </c>
      <c r="F8" s="11">
        <f t="shared" ref="F8:K8" si="2">E8*(1+F7)</f>
        <v>1000</v>
      </c>
      <c r="G8" s="11">
        <f t="shared" si="2"/>
        <v>1000</v>
      </c>
      <c r="H8" s="11">
        <f t="shared" si="2"/>
        <v>1050</v>
      </c>
      <c r="I8" s="11">
        <f t="shared" si="2"/>
        <v>1102.5</v>
      </c>
      <c r="J8" s="11">
        <f t="shared" si="2"/>
        <v>1190.7</v>
      </c>
      <c r="K8" s="11">
        <f t="shared" si="2"/>
        <v>1285.956</v>
      </c>
      <c r="L8" s="12">
        <v>400.0</v>
      </c>
      <c r="M8" s="11">
        <f t="shared" ref="M8:P8" si="3">L8*(1+M7)</f>
        <v>424</v>
      </c>
      <c r="N8" s="11">
        <f t="shared" si="3"/>
        <v>445.2</v>
      </c>
      <c r="O8" s="11">
        <f t="shared" si="3"/>
        <v>467.46</v>
      </c>
      <c r="P8" s="11">
        <f t="shared" si="3"/>
        <v>467.46</v>
      </c>
    </row>
    <row r="9">
      <c r="B9" s="7" t="s">
        <v>6</v>
      </c>
      <c r="C9" s="8" t="str">
        <f t="shared" si="1"/>
        <v/>
      </c>
      <c r="E9" s="13">
        <v>0.12</v>
      </c>
      <c r="F9" s="14">
        <v>0.025</v>
      </c>
      <c r="G9" s="14">
        <v>0.025</v>
      </c>
      <c r="H9" s="14">
        <v>0.025</v>
      </c>
      <c r="I9" s="14">
        <v>0.025</v>
      </c>
      <c r="J9" s="14">
        <v>0.025</v>
      </c>
      <c r="K9" s="15">
        <v>0.0</v>
      </c>
      <c r="L9" s="15">
        <v>0.0</v>
      </c>
      <c r="M9" s="14">
        <v>0.025</v>
      </c>
      <c r="N9" s="14">
        <v>0.025</v>
      </c>
      <c r="O9" s="14">
        <v>0.025</v>
      </c>
      <c r="P9" s="14">
        <v>0.025</v>
      </c>
      <c r="Q9" s="15"/>
    </row>
    <row r="10">
      <c r="B10" s="7" t="s">
        <v>7</v>
      </c>
      <c r="C10" s="16">
        <v>15.0</v>
      </c>
      <c r="E10" s="17">
        <f>ROUND(C10*(1+E9),0)</f>
        <v>17</v>
      </c>
      <c r="F10" s="17">
        <f t="shared" ref="F10:K10" si="4">ROUND(E10*(1+F9),0)</f>
        <v>17</v>
      </c>
      <c r="G10" s="17">
        <f t="shared" si="4"/>
        <v>17</v>
      </c>
      <c r="H10" s="17">
        <f t="shared" si="4"/>
        <v>17</v>
      </c>
      <c r="I10" s="17">
        <f t="shared" si="4"/>
        <v>17</v>
      </c>
      <c r="J10" s="17">
        <f t="shared" si="4"/>
        <v>17</v>
      </c>
      <c r="K10" s="17">
        <f t="shared" si="4"/>
        <v>17</v>
      </c>
      <c r="L10" s="17">
        <v>15.0</v>
      </c>
      <c r="M10" s="17">
        <f t="shared" ref="M10:P10" si="5">ROUND(L10*(1+M9),0)</f>
        <v>15</v>
      </c>
      <c r="N10" s="17">
        <f t="shared" si="5"/>
        <v>15</v>
      </c>
      <c r="O10" s="17">
        <f t="shared" si="5"/>
        <v>15</v>
      </c>
      <c r="P10" s="17">
        <f t="shared" si="5"/>
        <v>15</v>
      </c>
    </row>
    <row r="11">
      <c r="B11" s="7" t="s">
        <v>8</v>
      </c>
      <c r="C11" s="8" t="str">
        <f>IFERROR(FORMULATEXT(G11),"")</f>
        <v>=ROUND(G8/G10)</v>
      </c>
      <c r="E11" s="18">
        <f>ROUND(E8/C10,0)</f>
        <v>67</v>
      </c>
      <c r="F11" s="18">
        <f t="shared" ref="F11:P11" si="6">ROUND(F8/F10,0)</f>
        <v>59</v>
      </c>
      <c r="G11" s="18">
        <f t="shared" si="6"/>
        <v>59</v>
      </c>
      <c r="H11" s="18">
        <f t="shared" si="6"/>
        <v>62</v>
      </c>
      <c r="I11" s="18">
        <f t="shared" si="6"/>
        <v>65</v>
      </c>
      <c r="J11" s="18">
        <f t="shared" si="6"/>
        <v>70</v>
      </c>
      <c r="K11" s="18">
        <f t="shared" si="6"/>
        <v>76</v>
      </c>
      <c r="L11" s="18">
        <f t="shared" si="6"/>
        <v>27</v>
      </c>
      <c r="M11" s="18">
        <f t="shared" si="6"/>
        <v>28</v>
      </c>
      <c r="N11" s="18">
        <f t="shared" si="6"/>
        <v>30</v>
      </c>
      <c r="O11" s="18">
        <f t="shared" si="6"/>
        <v>31</v>
      </c>
      <c r="P11" s="18">
        <f t="shared" si="6"/>
        <v>31</v>
      </c>
      <c r="R11" s="21"/>
      <c r="S11" s="21"/>
      <c r="T11" s="21"/>
    </row>
    <row r="12">
      <c r="P12" s="20"/>
      <c r="Q12" s="40"/>
      <c r="S12" s="40"/>
      <c r="T12" s="40"/>
    </row>
    <row r="13">
      <c r="B13" s="6" t="s">
        <v>9</v>
      </c>
      <c r="P13" s="21"/>
      <c r="Q13" s="20"/>
      <c r="S13" s="20"/>
      <c r="T13" s="20"/>
    </row>
    <row r="14">
      <c r="P14" s="21"/>
      <c r="R14" s="21"/>
      <c r="T14" s="20"/>
    </row>
    <row r="15">
      <c r="B15" s="7" t="s">
        <v>38</v>
      </c>
      <c r="C15" s="8" t="str">
        <f t="shared" ref="C15:C19" si="8">IFERROR(FORMULATEXT(G15),"")</f>
        <v>=G11</v>
      </c>
      <c r="E15" s="18">
        <f t="shared" ref="E15:P15" si="7">E11</f>
        <v>67</v>
      </c>
      <c r="F15" s="18">
        <f t="shared" si="7"/>
        <v>59</v>
      </c>
      <c r="G15" s="18">
        <f t="shared" si="7"/>
        <v>59</v>
      </c>
      <c r="H15" s="18">
        <f t="shared" si="7"/>
        <v>62</v>
      </c>
      <c r="I15" s="18">
        <f t="shared" si="7"/>
        <v>65</v>
      </c>
      <c r="J15" s="18">
        <f t="shared" si="7"/>
        <v>70</v>
      </c>
      <c r="K15" s="18">
        <f t="shared" si="7"/>
        <v>76</v>
      </c>
      <c r="L15" s="18">
        <f t="shared" si="7"/>
        <v>27</v>
      </c>
      <c r="M15" s="18">
        <f t="shared" si="7"/>
        <v>28</v>
      </c>
      <c r="N15" s="18">
        <f t="shared" si="7"/>
        <v>30</v>
      </c>
      <c r="O15" s="18">
        <f t="shared" si="7"/>
        <v>31</v>
      </c>
      <c r="P15" s="18">
        <f t="shared" si="7"/>
        <v>31</v>
      </c>
      <c r="R15" s="21"/>
      <c r="T15" s="20"/>
    </row>
    <row r="16">
      <c r="B16" s="7" t="s">
        <v>11</v>
      </c>
      <c r="C16" s="8" t="str">
        <f t="shared" si="8"/>
        <v/>
      </c>
      <c r="E16" s="22">
        <v>0.24</v>
      </c>
      <c r="F16" s="22">
        <v>0.24</v>
      </c>
      <c r="G16" s="22">
        <v>0.24</v>
      </c>
      <c r="H16" s="22">
        <v>0.24</v>
      </c>
      <c r="I16" s="22">
        <v>0.24</v>
      </c>
      <c r="J16" s="22">
        <v>0.24</v>
      </c>
      <c r="K16" s="22">
        <v>0.24</v>
      </c>
      <c r="L16" s="22">
        <v>0.24</v>
      </c>
      <c r="M16" s="22">
        <v>0.24</v>
      </c>
      <c r="N16" s="22">
        <v>0.24</v>
      </c>
      <c r="O16" s="22">
        <v>0.24</v>
      </c>
      <c r="P16" s="22">
        <v>0.24</v>
      </c>
      <c r="Q16" s="20"/>
      <c r="R16" s="21"/>
      <c r="T16" s="20"/>
    </row>
    <row r="17">
      <c r="B17" s="7" t="s">
        <v>39</v>
      </c>
      <c r="C17" s="8" t="str">
        <f t="shared" si="8"/>
        <v>=ROUND((G15*G16))</v>
      </c>
      <c r="E17" s="23">
        <f t="shared" ref="E17:P17" si="9">ROUND((E15*E16),0)</f>
        <v>16</v>
      </c>
      <c r="F17" s="23">
        <f t="shared" si="9"/>
        <v>14</v>
      </c>
      <c r="G17" s="23">
        <f t="shared" si="9"/>
        <v>14</v>
      </c>
      <c r="H17" s="23">
        <f t="shared" si="9"/>
        <v>15</v>
      </c>
      <c r="I17" s="23">
        <f t="shared" si="9"/>
        <v>16</v>
      </c>
      <c r="J17" s="23">
        <f t="shared" si="9"/>
        <v>17</v>
      </c>
      <c r="K17" s="23">
        <f t="shared" si="9"/>
        <v>18</v>
      </c>
      <c r="L17" s="23">
        <f t="shared" si="9"/>
        <v>6</v>
      </c>
      <c r="M17" s="23">
        <f t="shared" si="9"/>
        <v>7</v>
      </c>
      <c r="N17" s="23">
        <f t="shared" si="9"/>
        <v>7</v>
      </c>
      <c r="O17" s="23">
        <f t="shared" si="9"/>
        <v>7</v>
      </c>
      <c r="P17" s="23">
        <f t="shared" si="9"/>
        <v>7</v>
      </c>
      <c r="Q17" s="20"/>
      <c r="R17" s="21"/>
      <c r="T17" s="20"/>
    </row>
    <row r="18">
      <c r="B18" s="7" t="s">
        <v>13</v>
      </c>
      <c r="C18" s="8" t="str">
        <f t="shared" si="8"/>
        <v/>
      </c>
      <c r="E18" s="22">
        <v>0.88</v>
      </c>
      <c r="F18" s="22">
        <v>0.88</v>
      </c>
      <c r="G18" s="22">
        <v>0.88</v>
      </c>
      <c r="H18" s="22">
        <v>0.88</v>
      </c>
      <c r="I18" s="22">
        <v>0.88</v>
      </c>
      <c r="J18" s="22">
        <v>0.88</v>
      </c>
      <c r="K18" s="22">
        <v>0.88</v>
      </c>
      <c r="L18" s="22">
        <v>0.88</v>
      </c>
      <c r="M18" s="22">
        <v>0.88</v>
      </c>
      <c r="N18" s="22">
        <v>0.88</v>
      </c>
      <c r="O18" s="22">
        <v>0.88</v>
      </c>
      <c r="P18" s="22">
        <v>0.88</v>
      </c>
      <c r="Q18" s="20"/>
      <c r="R18" s="21"/>
      <c r="T18" s="20"/>
    </row>
    <row r="19">
      <c r="B19" s="7" t="s">
        <v>14</v>
      </c>
      <c r="C19" s="8" t="str">
        <f t="shared" si="8"/>
        <v>=ROUND(G17*G18)</v>
      </c>
      <c r="E19" s="23">
        <f t="shared" ref="E19:P19" si="10">ROUND(E17*E18,0)</f>
        <v>14</v>
      </c>
      <c r="F19" s="23">
        <f t="shared" si="10"/>
        <v>12</v>
      </c>
      <c r="G19" s="23">
        <f t="shared" si="10"/>
        <v>12</v>
      </c>
      <c r="H19" s="23">
        <f t="shared" si="10"/>
        <v>13</v>
      </c>
      <c r="I19" s="23">
        <f t="shared" si="10"/>
        <v>14</v>
      </c>
      <c r="J19" s="23">
        <f t="shared" si="10"/>
        <v>15</v>
      </c>
      <c r="K19" s="23">
        <f t="shared" si="10"/>
        <v>16</v>
      </c>
      <c r="L19" s="23">
        <f t="shared" si="10"/>
        <v>5</v>
      </c>
      <c r="M19" s="23">
        <f t="shared" si="10"/>
        <v>6</v>
      </c>
      <c r="N19" s="23">
        <f t="shared" si="10"/>
        <v>6</v>
      </c>
      <c r="O19" s="23">
        <f t="shared" si="10"/>
        <v>6</v>
      </c>
      <c r="P19" s="23">
        <f t="shared" si="10"/>
        <v>6</v>
      </c>
      <c r="Q19" s="20"/>
      <c r="R19" s="21"/>
      <c r="T19" s="20"/>
    </row>
    <row r="20">
      <c r="E20" s="24">
        <f>E19/E15</f>
        <v>0.2089552239</v>
      </c>
      <c r="P20" s="21"/>
      <c r="Q20" s="20"/>
      <c r="R20" s="21"/>
      <c r="T20" s="20"/>
    </row>
    <row r="21">
      <c r="B21" s="6" t="s">
        <v>15</v>
      </c>
      <c r="P21" s="21"/>
      <c r="Q21" s="21"/>
      <c r="R21" s="21"/>
      <c r="T21" s="20"/>
    </row>
    <row r="23">
      <c r="B23" s="7" t="s">
        <v>16</v>
      </c>
      <c r="C23" s="8" t="str">
        <f t="shared" ref="C23:C27" si="12">IFERROR(FORMULATEXT(G23),"")</f>
        <v>=G19</v>
      </c>
      <c r="E23" s="23">
        <f t="shared" ref="E23:P23" si="11">E19</f>
        <v>14</v>
      </c>
      <c r="F23" s="23">
        <f t="shared" si="11"/>
        <v>12</v>
      </c>
      <c r="G23" s="23">
        <f t="shared" si="11"/>
        <v>12</v>
      </c>
      <c r="H23" s="23">
        <f t="shared" si="11"/>
        <v>13</v>
      </c>
      <c r="I23" s="23">
        <f t="shared" si="11"/>
        <v>14</v>
      </c>
      <c r="J23" s="23">
        <f t="shared" si="11"/>
        <v>15</v>
      </c>
      <c r="K23" s="23">
        <f t="shared" si="11"/>
        <v>16</v>
      </c>
      <c r="L23" s="23">
        <f t="shared" si="11"/>
        <v>5</v>
      </c>
      <c r="M23" s="23">
        <f t="shared" si="11"/>
        <v>6</v>
      </c>
      <c r="N23" s="23">
        <f t="shared" si="11"/>
        <v>6</v>
      </c>
      <c r="O23" s="23">
        <f t="shared" si="11"/>
        <v>6</v>
      </c>
      <c r="P23" s="23">
        <f t="shared" si="11"/>
        <v>6</v>
      </c>
    </row>
    <row r="24">
      <c r="B24" s="7" t="s">
        <v>17</v>
      </c>
      <c r="C24" s="8" t="str">
        <f t="shared" si="12"/>
        <v/>
      </c>
      <c r="E24" s="22">
        <v>0.2</v>
      </c>
      <c r="F24" s="22">
        <v>0.2</v>
      </c>
      <c r="G24" s="22">
        <v>0.2</v>
      </c>
      <c r="H24" s="22">
        <v>0.2</v>
      </c>
      <c r="I24" s="22">
        <v>0.2</v>
      </c>
      <c r="J24" s="22">
        <v>0.2</v>
      </c>
      <c r="K24" s="22">
        <v>0.2</v>
      </c>
      <c r="L24" s="22">
        <v>0.2</v>
      </c>
      <c r="M24" s="22">
        <v>0.2</v>
      </c>
      <c r="N24" s="22">
        <v>0.2</v>
      </c>
      <c r="O24" s="22">
        <v>0.2</v>
      </c>
      <c r="P24" s="22">
        <v>0.2</v>
      </c>
    </row>
    <row r="25">
      <c r="B25" s="7" t="s">
        <v>18</v>
      </c>
      <c r="C25" s="8" t="str">
        <f t="shared" si="12"/>
        <v>=ROUND(G23*G24)</v>
      </c>
      <c r="E25" s="23">
        <f t="shared" ref="E25:P25" si="13">ROUND(E23*E24,0)</f>
        <v>3</v>
      </c>
      <c r="F25" s="23">
        <f t="shared" si="13"/>
        <v>2</v>
      </c>
      <c r="G25" s="23">
        <f t="shared" si="13"/>
        <v>2</v>
      </c>
      <c r="H25" s="23">
        <f t="shared" si="13"/>
        <v>3</v>
      </c>
      <c r="I25" s="23">
        <f t="shared" si="13"/>
        <v>3</v>
      </c>
      <c r="J25" s="23">
        <f t="shared" si="13"/>
        <v>3</v>
      </c>
      <c r="K25" s="23">
        <f t="shared" si="13"/>
        <v>3</v>
      </c>
      <c r="L25" s="23">
        <f t="shared" si="13"/>
        <v>1</v>
      </c>
      <c r="M25" s="23">
        <f t="shared" si="13"/>
        <v>1</v>
      </c>
      <c r="N25" s="23">
        <f t="shared" si="13"/>
        <v>1</v>
      </c>
      <c r="O25" s="23">
        <f t="shared" si="13"/>
        <v>1</v>
      </c>
      <c r="P25" s="23">
        <f t="shared" si="13"/>
        <v>1</v>
      </c>
    </row>
    <row r="26">
      <c r="B26" s="7" t="s">
        <v>19</v>
      </c>
      <c r="C26" s="8" t="str">
        <f t="shared" si="12"/>
        <v>=F26</v>
      </c>
      <c r="E26" s="16">
        <v>12000.0</v>
      </c>
      <c r="F26" s="12">
        <f t="shared" ref="F26:P26" si="14">E26</f>
        <v>12000</v>
      </c>
      <c r="G26" s="12">
        <f t="shared" si="14"/>
        <v>12000</v>
      </c>
      <c r="H26" s="12">
        <f t="shared" si="14"/>
        <v>12000</v>
      </c>
      <c r="I26" s="12">
        <f t="shared" si="14"/>
        <v>12000</v>
      </c>
      <c r="J26" s="12">
        <f t="shared" si="14"/>
        <v>12000</v>
      </c>
      <c r="K26" s="12">
        <f t="shared" si="14"/>
        <v>12000</v>
      </c>
      <c r="L26" s="12">
        <f t="shared" si="14"/>
        <v>12000</v>
      </c>
      <c r="M26" s="12">
        <f t="shared" si="14"/>
        <v>12000</v>
      </c>
      <c r="N26" s="12">
        <f t="shared" si="14"/>
        <v>12000</v>
      </c>
      <c r="O26" s="12">
        <f t="shared" si="14"/>
        <v>12000</v>
      </c>
      <c r="P26" s="12">
        <f t="shared" si="14"/>
        <v>12000</v>
      </c>
    </row>
    <row r="27">
      <c r="B27" s="7" t="s">
        <v>20</v>
      </c>
      <c r="C27" s="8" t="str">
        <f t="shared" si="12"/>
        <v>=G25*G26</v>
      </c>
      <c r="E27" s="11">
        <f t="shared" ref="E27:P27" si="15">E25*E26</f>
        <v>36000</v>
      </c>
      <c r="F27" s="11">
        <f t="shared" si="15"/>
        <v>24000</v>
      </c>
      <c r="G27" s="11">
        <f t="shared" si="15"/>
        <v>24000</v>
      </c>
      <c r="H27" s="11">
        <f t="shared" si="15"/>
        <v>36000</v>
      </c>
      <c r="I27" s="11">
        <f t="shared" si="15"/>
        <v>36000</v>
      </c>
      <c r="J27" s="11">
        <f t="shared" si="15"/>
        <v>36000</v>
      </c>
      <c r="K27" s="11">
        <f t="shared" si="15"/>
        <v>36000</v>
      </c>
      <c r="L27" s="11">
        <f t="shared" si="15"/>
        <v>12000</v>
      </c>
      <c r="M27" s="11">
        <f t="shared" si="15"/>
        <v>12000</v>
      </c>
      <c r="N27" s="11">
        <f t="shared" si="15"/>
        <v>12000</v>
      </c>
      <c r="O27" s="11">
        <f t="shared" si="15"/>
        <v>12000</v>
      </c>
      <c r="P27" s="11">
        <f t="shared" si="15"/>
        <v>12000</v>
      </c>
    </row>
    <row r="28">
      <c r="B28" s="7" t="s">
        <v>21</v>
      </c>
      <c r="C28" s="25">
        <v>1.0</v>
      </c>
      <c r="E28" s="26">
        <f t="shared" ref="E28:P28" si="16">E27*$C$28</f>
        <v>36000</v>
      </c>
      <c r="F28" s="26">
        <f t="shared" si="16"/>
        <v>24000</v>
      </c>
      <c r="G28" s="26">
        <f t="shared" si="16"/>
        <v>24000</v>
      </c>
      <c r="H28" s="26">
        <f t="shared" si="16"/>
        <v>36000</v>
      </c>
      <c r="I28" s="26">
        <f t="shared" si="16"/>
        <v>36000</v>
      </c>
      <c r="J28" s="26">
        <f t="shared" si="16"/>
        <v>36000</v>
      </c>
      <c r="K28" s="26">
        <f t="shared" si="16"/>
        <v>36000</v>
      </c>
      <c r="L28" s="26">
        <f t="shared" si="16"/>
        <v>12000</v>
      </c>
      <c r="M28" s="26">
        <f t="shared" si="16"/>
        <v>12000</v>
      </c>
      <c r="N28" s="26">
        <f t="shared" si="16"/>
        <v>12000</v>
      </c>
      <c r="O28" s="26">
        <f t="shared" si="16"/>
        <v>12000</v>
      </c>
      <c r="P28" s="26">
        <f t="shared" si="16"/>
        <v>12000</v>
      </c>
    </row>
    <row r="29">
      <c r="F29" s="27"/>
    </row>
    <row r="30">
      <c r="B30" s="6" t="s">
        <v>22</v>
      </c>
      <c r="D30" s="28"/>
    </row>
    <row r="31" ht="15.75" customHeight="1"/>
    <row r="32">
      <c r="B32" s="7" t="s">
        <v>23</v>
      </c>
      <c r="E32" s="29">
        <f t="shared" ref="E32:P32" si="17">E27/E8</f>
        <v>36</v>
      </c>
      <c r="F32" s="29">
        <f t="shared" si="17"/>
        <v>24</v>
      </c>
      <c r="G32" s="29">
        <f t="shared" si="17"/>
        <v>24</v>
      </c>
      <c r="H32" s="29">
        <f t="shared" si="17"/>
        <v>34.28571429</v>
      </c>
      <c r="I32" s="29">
        <f t="shared" si="17"/>
        <v>32.65306122</v>
      </c>
      <c r="J32" s="29">
        <f t="shared" si="17"/>
        <v>30.23431595</v>
      </c>
      <c r="K32" s="29">
        <f t="shared" si="17"/>
        <v>27.99473699</v>
      </c>
      <c r="L32" s="29">
        <f t="shared" si="17"/>
        <v>30</v>
      </c>
      <c r="M32" s="29">
        <f t="shared" si="17"/>
        <v>28.30188679</v>
      </c>
      <c r="N32" s="29">
        <f t="shared" si="17"/>
        <v>26.9541779</v>
      </c>
      <c r="O32" s="29">
        <f t="shared" si="17"/>
        <v>25.67064562</v>
      </c>
      <c r="P32" s="29">
        <f t="shared" si="17"/>
        <v>25.67064562</v>
      </c>
    </row>
    <row r="33">
      <c r="B33" s="7" t="s">
        <v>24</v>
      </c>
      <c r="C33" s="25">
        <f>5750/2</f>
        <v>2875</v>
      </c>
      <c r="E33" s="11">
        <f t="shared" ref="E33:P33" si="18">($C$33+E8)/E11</f>
        <v>57.8358209</v>
      </c>
      <c r="F33" s="11">
        <f t="shared" si="18"/>
        <v>65.6779661</v>
      </c>
      <c r="G33" s="11">
        <f t="shared" si="18"/>
        <v>65.6779661</v>
      </c>
      <c r="H33" s="11">
        <f t="shared" si="18"/>
        <v>63.30645161</v>
      </c>
      <c r="I33" s="11">
        <f t="shared" si="18"/>
        <v>61.19230769</v>
      </c>
      <c r="J33" s="11">
        <f t="shared" si="18"/>
        <v>58.08142857</v>
      </c>
      <c r="K33" s="11">
        <f t="shared" si="18"/>
        <v>54.74942105</v>
      </c>
      <c r="L33" s="11">
        <f t="shared" si="18"/>
        <v>121.2962963</v>
      </c>
      <c r="M33" s="11">
        <f t="shared" si="18"/>
        <v>117.8214286</v>
      </c>
      <c r="N33" s="11">
        <f t="shared" si="18"/>
        <v>110.6733333</v>
      </c>
      <c r="O33" s="11">
        <f t="shared" si="18"/>
        <v>107.8212903</v>
      </c>
      <c r="P33" s="11">
        <f t="shared" si="18"/>
        <v>107.8212903</v>
      </c>
    </row>
    <row r="34">
      <c r="B34" s="7" t="s">
        <v>25</v>
      </c>
      <c r="E34" s="11">
        <f t="shared" ref="E34:P34" si="19">($C$33+E8)/E17</f>
        <v>242.1875</v>
      </c>
      <c r="F34" s="11">
        <f t="shared" si="19"/>
        <v>276.7857143</v>
      </c>
      <c r="G34" s="11">
        <f t="shared" si="19"/>
        <v>276.7857143</v>
      </c>
      <c r="H34" s="11">
        <f t="shared" si="19"/>
        <v>261.6666667</v>
      </c>
      <c r="I34" s="11">
        <f t="shared" si="19"/>
        <v>248.59375</v>
      </c>
      <c r="J34" s="11">
        <f t="shared" si="19"/>
        <v>239.1588235</v>
      </c>
      <c r="K34" s="11">
        <f t="shared" si="19"/>
        <v>231.1642222</v>
      </c>
      <c r="L34" s="11">
        <f t="shared" si="19"/>
        <v>545.8333333</v>
      </c>
      <c r="M34" s="11">
        <f t="shared" si="19"/>
        <v>471.2857143</v>
      </c>
      <c r="N34" s="11">
        <f t="shared" si="19"/>
        <v>474.3142857</v>
      </c>
      <c r="O34" s="11">
        <f t="shared" si="19"/>
        <v>477.4942857</v>
      </c>
      <c r="P34" s="11">
        <f t="shared" si="19"/>
        <v>477.4942857</v>
      </c>
    </row>
    <row r="35">
      <c r="B35" s="7" t="s">
        <v>26</v>
      </c>
      <c r="E35" s="11">
        <f t="shared" ref="E35:P35" si="20">($C$33+E8)/E25</f>
        <v>1291.666667</v>
      </c>
      <c r="F35" s="11">
        <f t="shared" si="20"/>
        <v>1937.5</v>
      </c>
      <c r="G35" s="11">
        <f t="shared" si="20"/>
        <v>1937.5</v>
      </c>
      <c r="H35" s="11">
        <f t="shared" si="20"/>
        <v>1308.333333</v>
      </c>
      <c r="I35" s="11">
        <f t="shared" si="20"/>
        <v>1325.833333</v>
      </c>
      <c r="J35" s="11">
        <f t="shared" si="20"/>
        <v>1355.233333</v>
      </c>
      <c r="K35" s="11">
        <f t="shared" si="20"/>
        <v>1386.985333</v>
      </c>
      <c r="L35" s="11">
        <f t="shared" si="20"/>
        <v>3275</v>
      </c>
      <c r="M35" s="11">
        <f t="shared" si="20"/>
        <v>3299</v>
      </c>
      <c r="N35" s="11">
        <f t="shared" si="20"/>
        <v>3320.2</v>
      </c>
      <c r="O35" s="11">
        <f t="shared" si="20"/>
        <v>3342.46</v>
      </c>
      <c r="P35" s="11">
        <f t="shared" si="20"/>
        <v>3342.46</v>
      </c>
    </row>
    <row r="36">
      <c r="B36" s="41"/>
      <c r="C36" s="41"/>
      <c r="D36" s="41"/>
      <c r="E36" s="41"/>
      <c r="F36" s="41"/>
      <c r="G36" s="41"/>
    </row>
    <row r="38" hidden="1">
      <c r="B38" s="42" t="s">
        <v>3</v>
      </c>
      <c r="D38" s="43" t="s">
        <v>40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</row>
    <row r="39" hidden="1">
      <c r="B39" s="46" t="s">
        <v>4</v>
      </c>
      <c r="C39" s="47"/>
      <c r="D39" s="48" t="s">
        <v>41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t="18.0" hidden="1" customHeight="1">
      <c r="B40" s="46" t="s">
        <v>5</v>
      </c>
      <c r="C40" s="47"/>
      <c r="D40" s="48" t="s">
        <v>42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1" hidden="1">
      <c r="B41" s="46" t="s">
        <v>6</v>
      </c>
      <c r="C41" s="47"/>
      <c r="D41" s="48" t="s">
        <v>43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hidden="1">
      <c r="B42" s="46" t="s">
        <v>7</v>
      </c>
      <c r="C42" s="47"/>
      <c r="D42" s="48" t="s">
        <v>44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idden="1">
      <c r="B43" s="46" t="s">
        <v>8</v>
      </c>
      <c r="C43" s="47"/>
      <c r="D43" s="48" t="s">
        <v>45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hidden="1"/>
    <row r="45" hidden="1">
      <c r="B45" s="42" t="s">
        <v>9</v>
      </c>
      <c r="D45" s="43" t="s">
        <v>40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5"/>
    </row>
    <row r="46" hidden="1">
      <c r="B46" s="46" t="s">
        <v>38</v>
      </c>
      <c r="C46" s="47"/>
      <c r="D46" s="48" t="s">
        <v>46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hidden="1">
      <c r="B47" s="46" t="s">
        <v>11</v>
      </c>
      <c r="C47" s="47"/>
      <c r="D47" s="48" t="s">
        <v>47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hidden="1">
      <c r="B48" s="46" t="s">
        <v>39</v>
      </c>
      <c r="C48" s="47"/>
      <c r="D48" s="48" t="s">
        <v>48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hidden="1">
      <c r="B49" s="46" t="s">
        <v>13</v>
      </c>
      <c r="C49" s="47"/>
      <c r="D49" s="48" t="s">
        <v>49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</row>
    <row r="50" hidden="1">
      <c r="B50" s="46" t="s">
        <v>14</v>
      </c>
      <c r="C50" s="47"/>
      <c r="D50" s="48" t="s">
        <v>50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</row>
    <row r="51" hidden="1"/>
    <row r="52" hidden="1">
      <c r="B52" s="42" t="s">
        <v>15</v>
      </c>
      <c r="D52" s="43" t="s">
        <v>40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5"/>
    </row>
    <row r="53" hidden="1">
      <c r="B53" s="46" t="s">
        <v>17</v>
      </c>
      <c r="C53" s="47"/>
      <c r="D53" s="48" t="s">
        <v>51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</row>
    <row r="54" hidden="1">
      <c r="B54" s="46" t="s">
        <v>18</v>
      </c>
      <c r="C54" s="47"/>
      <c r="D54" s="48" t="s">
        <v>52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hidden="1">
      <c r="B55" s="46" t="s">
        <v>19</v>
      </c>
      <c r="C55" s="47"/>
      <c r="D55" s="48" t="s">
        <v>53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</row>
    <row r="56"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</row>
  </sheetData>
  <mergeCells count="37">
    <mergeCell ref="B1:D1"/>
    <mergeCell ref="B5:C5"/>
    <mergeCell ref="B13:C13"/>
    <mergeCell ref="B21:C21"/>
    <mergeCell ref="B30:C30"/>
    <mergeCell ref="B38:C38"/>
    <mergeCell ref="D38:P38"/>
    <mergeCell ref="B39:C39"/>
    <mergeCell ref="D39:P39"/>
    <mergeCell ref="B40:C40"/>
    <mergeCell ref="D40:P40"/>
    <mergeCell ref="B41:C41"/>
    <mergeCell ref="D41:P41"/>
    <mergeCell ref="D42:P42"/>
    <mergeCell ref="B50:C50"/>
    <mergeCell ref="B52:C52"/>
    <mergeCell ref="B53:C53"/>
    <mergeCell ref="B54:C54"/>
    <mergeCell ref="B55:C55"/>
    <mergeCell ref="B42:C42"/>
    <mergeCell ref="B43:C43"/>
    <mergeCell ref="B45:C45"/>
    <mergeCell ref="B46:C46"/>
    <mergeCell ref="B47:C47"/>
    <mergeCell ref="B48:C48"/>
    <mergeCell ref="B49:C49"/>
    <mergeCell ref="D52:P52"/>
    <mergeCell ref="D53:P53"/>
    <mergeCell ref="D54:P54"/>
    <mergeCell ref="D55:P55"/>
    <mergeCell ref="D43:P43"/>
    <mergeCell ref="D45:P45"/>
    <mergeCell ref="D46:P46"/>
    <mergeCell ref="D47:P47"/>
    <mergeCell ref="D48:P48"/>
    <mergeCell ref="D49:P49"/>
    <mergeCell ref="D50:P50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75"/>
    <col customWidth="1" min="2" max="2" width="25.75"/>
    <col customWidth="1" min="3" max="3" width="15.38"/>
    <col customWidth="1" min="4" max="4" width="3.63"/>
    <col customWidth="1" min="17" max="17" width="3.13"/>
    <col customWidth="1" min="19" max="19" width="22.13"/>
  </cols>
  <sheetData>
    <row r="1">
      <c r="B1" s="1" t="s">
        <v>54</v>
      </c>
      <c r="E1" s="2">
        <v>46023.0</v>
      </c>
      <c r="F1" s="2">
        <v>46054.0</v>
      </c>
      <c r="G1" s="2">
        <v>46082.0</v>
      </c>
      <c r="H1" s="2">
        <v>46113.0</v>
      </c>
      <c r="I1" s="2">
        <v>46143.0</v>
      </c>
      <c r="J1" s="2">
        <v>46174.0</v>
      </c>
      <c r="K1" s="2">
        <v>46204.0</v>
      </c>
      <c r="L1" s="2">
        <v>46235.0</v>
      </c>
      <c r="M1" s="2">
        <v>46266.0</v>
      </c>
      <c r="N1" s="2">
        <v>46296.0</v>
      </c>
      <c r="O1" s="2">
        <v>46327.0</v>
      </c>
      <c r="P1" s="2">
        <v>46357.0</v>
      </c>
    </row>
    <row r="2">
      <c r="B2" s="3" t="s">
        <v>1</v>
      </c>
      <c r="E2" s="4">
        <v>31.0</v>
      </c>
      <c r="F2" s="4">
        <v>29.0</v>
      </c>
      <c r="G2" s="4">
        <v>31.0</v>
      </c>
      <c r="H2" s="4">
        <v>30.0</v>
      </c>
      <c r="I2" s="4">
        <v>31.0</v>
      </c>
      <c r="J2" s="4">
        <v>30.0</v>
      </c>
      <c r="K2" s="4">
        <v>31.0</v>
      </c>
      <c r="L2" s="4">
        <v>31.0</v>
      </c>
      <c r="M2" s="4">
        <v>30.0</v>
      </c>
      <c r="N2" s="4">
        <v>31.0</v>
      </c>
      <c r="O2" s="4">
        <v>30.0</v>
      </c>
      <c r="P2" s="4">
        <v>31.0</v>
      </c>
    </row>
    <row r="3">
      <c r="B3" s="3" t="s">
        <v>2</v>
      </c>
      <c r="E3" s="4">
        <v>22.0</v>
      </c>
      <c r="F3" s="4">
        <v>20.0</v>
      </c>
      <c r="G3" s="4">
        <v>21.0</v>
      </c>
      <c r="H3" s="4">
        <v>22.0</v>
      </c>
      <c r="I3" s="4">
        <v>22.0</v>
      </c>
      <c r="J3" s="4">
        <v>21.0</v>
      </c>
      <c r="K3" s="4">
        <v>22.0</v>
      </c>
      <c r="L3" s="4">
        <v>22.0</v>
      </c>
      <c r="M3" s="4">
        <v>20.0</v>
      </c>
      <c r="N3" s="4">
        <v>22.0</v>
      </c>
      <c r="O3" s="4">
        <v>21.0</v>
      </c>
      <c r="P3" s="4">
        <v>15.0</v>
      </c>
    </row>
    <row r="4">
      <c r="B4" s="5"/>
      <c r="C4" s="5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B5" s="6" t="s">
        <v>3</v>
      </c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7">
      <c r="B7" s="7" t="s">
        <v>4</v>
      </c>
      <c r="C7" s="8" t="str">
        <f t="shared" ref="C7:C9" si="1">IFERROR(FORMULATEXT(G7),"")</f>
        <v/>
      </c>
      <c r="E7" s="9">
        <v>0.0</v>
      </c>
      <c r="F7" s="9">
        <v>0.0</v>
      </c>
      <c r="G7" s="9">
        <v>0.0</v>
      </c>
      <c r="H7" s="9">
        <v>0.05</v>
      </c>
      <c r="I7" s="9">
        <v>0.05</v>
      </c>
      <c r="J7" s="9">
        <v>0.08</v>
      </c>
      <c r="K7" s="9">
        <v>0.08</v>
      </c>
      <c r="L7" s="9">
        <v>0.08</v>
      </c>
      <c r="M7" s="9">
        <v>0.06</v>
      </c>
      <c r="N7" s="9">
        <v>0.05</v>
      </c>
      <c r="O7" s="9">
        <v>0.05</v>
      </c>
      <c r="P7" s="9">
        <v>0.0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</row>
    <row r="8">
      <c r="B8" s="7" t="s">
        <v>5</v>
      </c>
      <c r="C8" s="8" t="str">
        <f t="shared" si="1"/>
        <v>=F8*(1+G7)</v>
      </c>
      <c r="E8" s="50">
        <v>1000.0</v>
      </c>
      <c r="F8" s="11">
        <f t="shared" ref="F8:K8" si="2">E8*(1+F7)</f>
        <v>1000</v>
      </c>
      <c r="G8" s="11">
        <f t="shared" si="2"/>
        <v>1000</v>
      </c>
      <c r="H8" s="11">
        <f t="shared" si="2"/>
        <v>1050</v>
      </c>
      <c r="I8" s="11">
        <f t="shared" si="2"/>
        <v>1102.5</v>
      </c>
      <c r="J8" s="11">
        <f t="shared" si="2"/>
        <v>1190.7</v>
      </c>
      <c r="K8" s="11">
        <f t="shared" si="2"/>
        <v>1285.956</v>
      </c>
      <c r="L8" s="12">
        <v>1600.0</v>
      </c>
      <c r="M8" s="11">
        <f t="shared" ref="M8:P8" si="3">L8*(1+M7)</f>
        <v>1696</v>
      </c>
      <c r="N8" s="11">
        <f t="shared" si="3"/>
        <v>1780.8</v>
      </c>
      <c r="O8" s="11">
        <f t="shared" si="3"/>
        <v>1869.84</v>
      </c>
      <c r="P8" s="11">
        <f t="shared" si="3"/>
        <v>1869.84</v>
      </c>
    </row>
    <row r="9">
      <c r="B9" s="7" t="s">
        <v>6</v>
      </c>
      <c r="C9" s="8" t="str">
        <f t="shared" si="1"/>
        <v/>
      </c>
      <c r="E9" s="15"/>
      <c r="F9" s="14">
        <v>0.025</v>
      </c>
      <c r="G9" s="14">
        <v>0.025</v>
      </c>
      <c r="H9" s="14">
        <v>0.025</v>
      </c>
      <c r="I9" s="14">
        <v>0.025</v>
      </c>
      <c r="J9" s="14">
        <v>0.025</v>
      </c>
      <c r="K9" s="15">
        <v>0.0</v>
      </c>
      <c r="L9" s="15">
        <v>0.0</v>
      </c>
      <c r="M9" s="14">
        <v>0.025</v>
      </c>
      <c r="N9" s="14">
        <v>0.025</v>
      </c>
      <c r="O9" s="14">
        <v>0.025</v>
      </c>
      <c r="P9" s="14">
        <v>0.025</v>
      </c>
      <c r="Q9" s="15"/>
    </row>
    <row r="10">
      <c r="B10" s="7" t="s">
        <v>7</v>
      </c>
      <c r="E10" s="16">
        <v>8.0</v>
      </c>
      <c r="F10" s="17">
        <f t="shared" ref="F10:K10" si="4">ROUND(E10*(1+F9),0)</f>
        <v>8</v>
      </c>
      <c r="G10" s="17">
        <f t="shared" si="4"/>
        <v>8</v>
      </c>
      <c r="H10" s="17">
        <f t="shared" si="4"/>
        <v>8</v>
      </c>
      <c r="I10" s="17">
        <f t="shared" si="4"/>
        <v>8</v>
      </c>
      <c r="J10" s="17">
        <f t="shared" si="4"/>
        <v>8</v>
      </c>
      <c r="K10" s="17">
        <f t="shared" si="4"/>
        <v>8</v>
      </c>
      <c r="L10" s="17">
        <v>20.0</v>
      </c>
      <c r="M10" s="17">
        <f t="shared" ref="M10:P10" si="5">ROUND(L10*(1+M9),0)</f>
        <v>21</v>
      </c>
      <c r="N10" s="17">
        <f t="shared" si="5"/>
        <v>22</v>
      </c>
      <c r="O10" s="17">
        <f t="shared" si="5"/>
        <v>23</v>
      </c>
      <c r="P10" s="17">
        <f t="shared" si="5"/>
        <v>24</v>
      </c>
    </row>
    <row r="11">
      <c r="B11" s="7" t="s">
        <v>8</v>
      </c>
      <c r="C11" s="8" t="str">
        <f>IFERROR(FORMULATEXT(G11),"")</f>
        <v>=ROUND(G8/G10)</v>
      </c>
      <c r="E11" s="18">
        <f t="shared" ref="E11:P11" si="6">ROUND(E8/E10,0)</f>
        <v>125</v>
      </c>
      <c r="F11" s="18">
        <f t="shared" si="6"/>
        <v>125</v>
      </c>
      <c r="G11" s="18">
        <f t="shared" si="6"/>
        <v>125</v>
      </c>
      <c r="H11" s="18">
        <f t="shared" si="6"/>
        <v>131</v>
      </c>
      <c r="I11" s="18">
        <f t="shared" si="6"/>
        <v>138</v>
      </c>
      <c r="J11" s="18">
        <f t="shared" si="6"/>
        <v>149</v>
      </c>
      <c r="K11" s="18">
        <f t="shared" si="6"/>
        <v>161</v>
      </c>
      <c r="L11" s="18">
        <f t="shared" si="6"/>
        <v>80</v>
      </c>
      <c r="M11" s="18">
        <f t="shared" si="6"/>
        <v>81</v>
      </c>
      <c r="N11" s="18">
        <f t="shared" si="6"/>
        <v>81</v>
      </c>
      <c r="O11" s="18">
        <f t="shared" si="6"/>
        <v>81</v>
      </c>
      <c r="P11" s="18">
        <f t="shared" si="6"/>
        <v>78</v>
      </c>
      <c r="R11" s="21"/>
      <c r="S11" s="21"/>
      <c r="T11" s="21"/>
    </row>
    <row r="12">
      <c r="P12" s="20"/>
      <c r="Q12" s="40"/>
      <c r="S12" s="40"/>
      <c r="T12" s="40"/>
    </row>
    <row r="13">
      <c r="B13" s="6" t="s">
        <v>9</v>
      </c>
      <c r="P13" s="21"/>
      <c r="Q13" s="20"/>
      <c r="S13" s="20"/>
      <c r="T13" s="20"/>
    </row>
    <row r="14">
      <c r="P14" s="21"/>
      <c r="R14" s="21"/>
      <c r="T14" s="20"/>
    </row>
    <row r="15">
      <c r="B15" s="7" t="s">
        <v>10</v>
      </c>
      <c r="C15" s="8" t="str">
        <f t="shared" ref="C15:C19" si="8">IFERROR(FORMULATEXT(G15),"")</f>
        <v>=G11</v>
      </c>
      <c r="E15" s="18">
        <f t="shared" ref="E15:P15" si="7">E11</f>
        <v>125</v>
      </c>
      <c r="F15" s="18">
        <f t="shared" si="7"/>
        <v>125</v>
      </c>
      <c r="G15" s="18">
        <f t="shared" si="7"/>
        <v>125</v>
      </c>
      <c r="H15" s="18">
        <f t="shared" si="7"/>
        <v>131</v>
      </c>
      <c r="I15" s="18">
        <f t="shared" si="7"/>
        <v>138</v>
      </c>
      <c r="J15" s="18">
        <f t="shared" si="7"/>
        <v>149</v>
      </c>
      <c r="K15" s="18">
        <f t="shared" si="7"/>
        <v>161</v>
      </c>
      <c r="L15" s="18">
        <f t="shared" si="7"/>
        <v>80</v>
      </c>
      <c r="M15" s="18">
        <f t="shared" si="7"/>
        <v>81</v>
      </c>
      <c r="N15" s="18">
        <f t="shared" si="7"/>
        <v>81</v>
      </c>
      <c r="O15" s="18">
        <f t="shared" si="7"/>
        <v>81</v>
      </c>
      <c r="P15" s="18">
        <f t="shared" si="7"/>
        <v>78</v>
      </c>
      <c r="R15" s="21"/>
      <c r="T15" s="20"/>
    </row>
    <row r="16">
      <c r="B16" s="7" t="s">
        <v>11</v>
      </c>
      <c r="C16" s="8" t="str">
        <f t="shared" si="8"/>
        <v/>
      </c>
      <c r="E16" s="22">
        <v>0.4</v>
      </c>
      <c r="F16" s="22">
        <v>0.4</v>
      </c>
      <c r="G16" s="22">
        <v>0.4</v>
      </c>
      <c r="H16" s="22">
        <v>0.4</v>
      </c>
      <c r="I16" s="22">
        <v>0.4</v>
      </c>
      <c r="J16" s="22">
        <v>0.4</v>
      </c>
      <c r="K16" s="22">
        <v>0.4</v>
      </c>
      <c r="L16" s="22">
        <v>0.4</v>
      </c>
      <c r="M16" s="22">
        <v>0.4</v>
      </c>
      <c r="N16" s="22">
        <v>0.4</v>
      </c>
      <c r="O16" s="22">
        <v>0.4</v>
      </c>
      <c r="P16" s="22">
        <v>0.4</v>
      </c>
      <c r="Q16" s="20"/>
      <c r="R16" s="21"/>
      <c r="T16" s="20"/>
    </row>
    <row r="17">
      <c r="B17" s="7" t="s">
        <v>12</v>
      </c>
      <c r="C17" s="8" t="str">
        <f t="shared" si="8"/>
        <v>=ROUND((G15*G16))</v>
      </c>
      <c r="E17" s="23">
        <f t="shared" ref="E17:P17" si="9">ROUND((E15*E16),0)</f>
        <v>50</v>
      </c>
      <c r="F17" s="23">
        <f t="shared" si="9"/>
        <v>50</v>
      </c>
      <c r="G17" s="23">
        <f t="shared" si="9"/>
        <v>50</v>
      </c>
      <c r="H17" s="23">
        <f t="shared" si="9"/>
        <v>52</v>
      </c>
      <c r="I17" s="23">
        <f t="shared" si="9"/>
        <v>55</v>
      </c>
      <c r="J17" s="23">
        <f t="shared" si="9"/>
        <v>60</v>
      </c>
      <c r="K17" s="23">
        <f t="shared" si="9"/>
        <v>64</v>
      </c>
      <c r="L17" s="23">
        <f t="shared" si="9"/>
        <v>32</v>
      </c>
      <c r="M17" s="23">
        <f t="shared" si="9"/>
        <v>32</v>
      </c>
      <c r="N17" s="23">
        <f t="shared" si="9"/>
        <v>32</v>
      </c>
      <c r="O17" s="23">
        <f t="shared" si="9"/>
        <v>32</v>
      </c>
      <c r="P17" s="23">
        <f t="shared" si="9"/>
        <v>31</v>
      </c>
      <c r="Q17" s="20"/>
      <c r="R17" s="21"/>
      <c r="T17" s="20"/>
    </row>
    <row r="18">
      <c r="B18" s="7" t="s">
        <v>13</v>
      </c>
      <c r="C18" s="8" t="str">
        <f t="shared" si="8"/>
        <v/>
      </c>
      <c r="E18" s="22">
        <v>0.87</v>
      </c>
      <c r="F18" s="22">
        <v>0.87</v>
      </c>
      <c r="G18" s="22">
        <v>0.87</v>
      </c>
      <c r="H18" s="22">
        <v>0.87</v>
      </c>
      <c r="I18" s="22">
        <v>0.87</v>
      </c>
      <c r="J18" s="22">
        <v>0.87</v>
      </c>
      <c r="K18" s="22">
        <v>0.87</v>
      </c>
      <c r="L18" s="22">
        <v>0.87</v>
      </c>
      <c r="M18" s="22">
        <v>0.87</v>
      </c>
      <c r="N18" s="22">
        <v>0.87</v>
      </c>
      <c r="O18" s="22">
        <v>0.87</v>
      </c>
      <c r="P18" s="22">
        <v>0.87</v>
      </c>
      <c r="Q18" s="20"/>
      <c r="R18" s="21"/>
      <c r="T18" s="20"/>
    </row>
    <row r="19">
      <c r="B19" s="7" t="s">
        <v>14</v>
      </c>
      <c r="C19" s="8" t="str">
        <f t="shared" si="8"/>
        <v>=ROUND(G17*G18)</v>
      </c>
      <c r="E19" s="23">
        <f t="shared" ref="E19:P19" si="10">ROUND(E17*E18,0)</f>
        <v>44</v>
      </c>
      <c r="F19" s="23">
        <f t="shared" si="10"/>
        <v>44</v>
      </c>
      <c r="G19" s="23">
        <f t="shared" si="10"/>
        <v>44</v>
      </c>
      <c r="H19" s="23">
        <f t="shared" si="10"/>
        <v>45</v>
      </c>
      <c r="I19" s="23">
        <f t="shared" si="10"/>
        <v>48</v>
      </c>
      <c r="J19" s="23">
        <f t="shared" si="10"/>
        <v>52</v>
      </c>
      <c r="K19" s="23">
        <f t="shared" si="10"/>
        <v>56</v>
      </c>
      <c r="L19" s="23">
        <f t="shared" si="10"/>
        <v>28</v>
      </c>
      <c r="M19" s="23">
        <f t="shared" si="10"/>
        <v>28</v>
      </c>
      <c r="N19" s="23">
        <f t="shared" si="10"/>
        <v>28</v>
      </c>
      <c r="O19" s="23">
        <f t="shared" si="10"/>
        <v>28</v>
      </c>
      <c r="P19" s="23">
        <f t="shared" si="10"/>
        <v>27</v>
      </c>
      <c r="Q19" s="20"/>
      <c r="R19" s="21"/>
      <c r="T19" s="20"/>
    </row>
    <row r="20">
      <c r="E20" s="24">
        <f>E19/E15</f>
        <v>0.352</v>
      </c>
      <c r="P20" s="21"/>
      <c r="Q20" s="20"/>
      <c r="R20" s="21"/>
      <c r="T20" s="20"/>
    </row>
    <row r="21">
      <c r="B21" s="6" t="s">
        <v>15</v>
      </c>
      <c r="P21" s="21"/>
      <c r="Q21" s="21"/>
      <c r="R21" s="21"/>
      <c r="T21" s="20"/>
    </row>
    <row r="23">
      <c r="B23" s="7" t="s">
        <v>16</v>
      </c>
      <c r="C23" s="8" t="str">
        <f t="shared" ref="C23:C27" si="12">IFERROR(FORMULATEXT(G23),"")</f>
        <v>=G19</v>
      </c>
      <c r="E23" s="23">
        <f t="shared" ref="E23:P23" si="11">E19</f>
        <v>44</v>
      </c>
      <c r="F23" s="23">
        <f t="shared" si="11"/>
        <v>44</v>
      </c>
      <c r="G23" s="23">
        <f t="shared" si="11"/>
        <v>44</v>
      </c>
      <c r="H23" s="23">
        <f t="shared" si="11"/>
        <v>45</v>
      </c>
      <c r="I23" s="23">
        <f t="shared" si="11"/>
        <v>48</v>
      </c>
      <c r="J23" s="23">
        <f t="shared" si="11"/>
        <v>52</v>
      </c>
      <c r="K23" s="23">
        <f t="shared" si="11"/>
        <v>56</v>
      </c>
      <c r="L23" s="23">
        <f t="shared" si="11"/>
        <v>28</v>
      </c>
      <c r="M23" s="23">
        <f t="shared" si="11"/>
        <v>28</v>
      </c>
      <c r="N23" s="23">
        <f t="shared" si="11"/>
        <v>28</v>
      </c>
      <c r="O23" s="23">
        <f t="shared" si="11"/>
        <v>28</v>
      </c>
      <c r="P23" s="23">
        <f t="shared" si="11"/>
        <v>27</v>
      </c>
    </row>
    <row r="24">
      <c r="B24" s="7" t="s">
        <v>17</v>
      </c>
      <c r="C24" s="8" t="str">
        <f t="shared" si="12"/>
        <v/>
      </c>
      <c r="E24" s="22">
        <v>0.2</v>
      </c>
      <c r="F24" s="22">
        <v>0.2</v>
      </c>
      <c r="G24" s="22">
        <v>0.2</v>
      </c>
      <c r="H24" s="22">
        <v>0.2</v>
      </c>
      <c r="I24" s="22">
        <v>0.2</v>
      </c>
      <c r="J24" s="22">
        <v>0.2</v>
      </c>
      <c r="K24" s="22">
        <v>0.2</v>
      </c>
      <c r="L24" s="22">
        <v>0.2</v>
      </c>
      <c r="M24" s="22">
        <v>0.2</v>
      </c>
      <c r="N24" s="22">
        <v>0.2</v>
      </c>
      <c r="O24" s="22">
        <v>0.2</v>
      </c>
      <c r="P24" s="22">
        <v>0.2</v>
      </c>
    </row>
    <row r="25">
      <c r="B25" s="7" t="s">
        <v>18</v>
      </c>
      <c r="C25" s="8" t="str">
        <f t="shared" si="12"/>
        <v>=ROUND(G23*G24)</v>
      </c>
      <c r="E25" s="23">
        <f t="shared" ref="E25:P25" si="13">ROUND(E23*E24,0)</f>
        <v>9</v>
      </c>
      <c r="F25" s="23">
        <f t="shared" si="13"/>
        <v>9</v>
      </c>
      <c r="G25" s="23">
        <f t="shared" si="13"/>
        <v>9</v>
      </c>
      <c r="H25" s="23">
        <f t="shared" si="13"/>
        <v>9</v>
      </c>
      <c r="I25" s="23">
        <f t="shared" si="13"/>
        <v>10</v>
      </c>
      <c r="J25" s="23">
        <f t="shared" si="13"/>
        <v>10</v>
      </c>
      <c r="K25" s="23">
        <f t="shared" si="13"/>
        <v>11</v>
      </c>
      <c r="L25" s="23">
        <f t="shared" si="13"/>
        <v>6</v>
      </c>
      <c r="M25" s="23">
        <f t="shared" si="13"/>
        <v>6</v>
      </c>
      <c r="N25" s="23">
        <f t="shared" si="13"/>
        <v>6</v>
      </c>
      <c r="O25" s="23">
        <f t="shared" si="13"/>
        <v>6</v>
      </c>
      <c r="P25" s="23">
        <f t="shared" si="13"/>
        <v>5</v>
      </c>
    </row>
    <row r="26">
      <c r="B26" s="7" t="s">
        <v>19</v>
      </c>
      <c r="C26" s="8" t="str">
        <f t="shared" si="12"/>
        <v>=F26</v>
      </c>
      <c r="E26" s="16">
        <f>Metas!D49</f>
        <v>14615.38462</v>
      </c>
      <c r="F26" s="12">
        <f t="shared" ref="F26:P26" si="14">E26</f>
        <v>14615.38462</v>
      </c>
      <c r="G26" s="12">
        <f t="shared" si="14"/>
        <v>14615.38462</v>
      </c>
      <c r="H26" s="12">
        <f t="shared" si="14"/>
        <v>14615.38462</v>
      </c>
      <c r="I26" s="12">
        <f t="shared" si="14"/>
        <v>14615.38462</v>
      </c>
      <c r="J26" s="12">
        <f t="shared" si="14"/>
        <v>14615.38462</v>
      </c>
      <c r="K26" s="12">
        <f t="shared" si="14"/>
        <v>14615.38462</v>
      </c>
      <c r="L26" s="12">
        <f t="shared" si="14"/>
        <v>14615.38462</v>
      </c>
      <c r="M26" s="12">
        <f t="shared" si="14"/>
        <v>14615.38462</v>
      </c>
      <c r="N26" s="12">
        <f t="shared" si="14"/>
        <v>14615.38462</v>
      </c>
      <c r="O26" s="12">
        <f t="shared" si="14"/>
        <v>14615.38462</v>
      </c>
      <c r="P26" s="12">
        <f t="shared" si="14"/>
        <v>14615.38462</v>
      </c>
    </row>
    <row r="27">
      <c r="B27" s="7" t="s">
        <v>20</v>
      </c>
      <c r="C27" s="8" t="str">
        <f t="shared" si="12"/>
        <v>=G25*G26</v>
      </c>
      <c r="E27" s="11">
        <f t="shared" ref="E27:P27" si="15">E25*E26</f>
        <v>131538.4615</v>
      </c>
      <c r="F27" s="11">
        <f t="shared" si="15"/>
        <v>131538.4615</v>
      </c>
      <c r="G27" s="11">
        <f t="shared" si="15"/>
        <v>131538.4615</v>
      </c>
      <c r="H27" s="11">
        <f t="shared" si="15"/>
        <v>131538.4615</v>
      </c>
      <c r="I27" s="11">
        <f t="shared" si="15"/>
        <v>146153.8462</v>
      </c>
      <c r="J27" s="11">
        <f t="shared" si="15"/>
        <v>146153.8462</v>
      </c>
      <c r="K27" s="11">
        <f t="shared" si="15"/>
        <v>160769.2308</v>
      </c>
      <c r="L27" s="11">
        <f t="shared" si="15"/>
        <v>87692.30769</v>
      </c>
      <c r="M27" s="11">
        <f t="shared" si="15"/>
        <v>87692.30769</v>
      </c>
      <c r="N27" s="11">
        <f t="shared" si="15"/>
        <v>87692.30769</v>
      </c>
      <c r="O27" s="11">
        <f t="shared" si="15"/>
        <v>87692.30769</v>
      </c>
      <c r="P27" s="11">
        <f t="shared" si="15"/>
        <v>73076.92308</v>
      </c>
    </row>
    <row r="28">
      <c r="B28" s="7" t="s">
        <v>21</v>
      </c>
      <c r="C28" s="25">
        <v>1.0</v>
      </c>
      <c r="E28" s="51">
        <f t="shared" ref="E28:P28" si="16">E27*$C$28</f>
        <v>131538.4615</v>
      </c>
      <c r="F28" s="51">
        <f t="shared" si="16"/>
        <v>131538.4615</v>
      </c>
      <c r="G28" s="51">
        <f t="shared" si="16"/>
        <v>131538.4615</v>
      </c>
      <c r="H28" s="51">
        <f t="shared" si="16"/>
        <v>131538.4615</v>
      </c>
      <c r="I28" s="51">
        <f t="shared" si="16"/>
        <v>146153.8462</v>
      </c>
      <c r="J28" s="51">
        <f t="shared" si="16"/>
        <v>146153.8462</v>
      </c>
      <c r="K28" s="51">
        <f t="shared" si="16"/>
        <v>160769.2308</v>
      </c>
      <c r="L28" s="51">
        <f t="shared" si="16"/>
        <v>87692.30769</v>
      </c>
      <c r="M28" s="51">
        <f t="shared" si="16"/>
        <v>87692.30769</v>
      </c>
      <c r="N28" s="51">
        <f t="shared" si="16"/>
        <v>87692.30769</v>
      </c>
      <c r="O28" s="51">
        <f t="shared" si="16"/>
        <v>87692.30769</v>
      </c>
      <c r="P28" s="51">
        <f t="shared" si="16"/>
        <v>73076.92308</v>
      </c>
    </row>
    <row r="30">
      <c r="B30" s="6" t="s">
        <v>22</v>
      </c>
      <c r="D30" s="28"/>
    </row>
    <row r="32">
      <c r="B32" s="7" t="s">
        <v>23</v>
      </c>
      <c r="E32" s="29">
        <f t="shared" ref="E32:P32" si="17">E27/E8</f>
        <v>131.5384615</v>
      </c>
      <c r="F32" s="29">
        <f t="shared" si="17"/>
        <v>131.5384615</v>
      </c>
      <c r="G32" s="29">
        <f t="shared" si="17"/>
        <v>131.5384615</v>
      </c>
      <c r="H32" s="29">
        <f t="shared" si="17"/>
        <v>125.2747253</v>
      </c>
      <c r="I32" s="29">
        <f t="shared" si="17"/>
        <v>132.5658469</v>
      </c>
      <c r="J32" s="29">
        <f t="shared" si="17"/>
        <v>122.7461545</v>
      </c>
      <c r="K32" s="29">
        <f t="shared" si="17"/>
        <v>125.0192314</v>
      </c>
      <c r="L32" s="29">
        <f t="shared" si="17"/>
        <v>54.80769231</v>
      </c>
      <c r="M32" s="29">
        <f t="shared" si="17"/>
        <v>51.7053701</v>
      </c>
      <c r="N32" s="29">
        <f t="shared" si="17"/>
        <v>49.24320962</v>
      </c>
      <c r="O32" s="29">
        <f t="shared" si="17"/>
        <v>46.89829488</v>
      </c>
      <c r="P32" s="29">
        <f t="shared" si="17"/>
        <v>39.0819124</v>
      </c>
    </row>
    <row r="33">
      <c r="B33" s="7" t="s">
        <v>24</v>
      </c>
      <c r="C33" s="25">
        <f>5750/2</f>
        <v>2875</v>
      </c>
      <c r="E33" s="11">
        <f t="shared" ref="E33:P33" si="18">($C$33+E8)/E11</f>
        <v>31</v>
      </c>
      <c r="F33" s="11">
        <f t="shared" si="18"/>
        <v>31</v>
      </c>
      <c r="G33" s="11">
        <f t="shared" si="18"/>
        <v>31</v>
      </c>
      <c r="H33" s="11">
        <f t="shared" si="18"/>
        <v>29.96183206</v>
      </c>
      <c r="I33" s="11">
        <f t="shared" si="18"/>
        <v>28.82246377</v>
      </c>
      <c r="J33" s="11">
        <f t="shared" si="18"/>
        <v>27.28657718</v>
      </c>
      <c r="K33" s="11">
        <f t="shared" si="18"/>
        <v>25.8444472</v>
      </c>
      <c r="L33" s="11">
        <f t="shared" si="18"/>
        <v>55.9375</v>
      </c>
      <c r="M33" s="11">
        <f t="shared" si="18"/>
        <v>56.43209877</v>
      </c>
      <c r="N33" s="11">
        <f t="shared" si="18"/>
        <v>57.47901235</v>
      </c>
      <c r="O33" s="11">
        <f t="shared" si="18"/>
        <v>58.5782716</v>
      </c>
      <c r="P33" s="11">
        <f t="shared" si="18"/>
        <v>60.83128205</v>
      </c>
    </row>
    <row r="34">
      <c r="B34" s="7" t="s">
        <v>25</v>
      </c>
      <c r="E34" s="11">
        <f t="shared" ref="E34:P34" si="19">($C$33+E8)/E17</f>
        <v>77.5</v>
      </c>
      <c r="F34" s="11">
        <f t="shared" si="19"/>
        <v>77.5</v>
      </c>
      <c r="G34" s="11">
        <f t="shared" si="19"/>
        <v>77.5</v>
      </c>
      <c r="H34" s="11">
        <f t="shared" si="19"/>
        <v>75.48076923</v>
      </c>
      <c r="I34" s="11">
        <f t="shared" si="19"/>
        <v>72.31818182</v>
      </c>
      <c r="J34" s="11">
        <f t="shared" si="19"/>
        <v>67.76166667</v>
      </c>
      <c r="K34" s="11">
        <f t="shared" si="19"/>
        <v>65.0149375</v>
      </c>
      <c r="L34" s="11">
        <f t="shared" si="19"/>
        <v>139.84375</v>
      </c>
      <c r="M34" s="11">
        <f t="shared" si="19"/>
        <v>142.84375</v>
      </c>
      <c r="N34" s="11">
        <f t="shared" si="19"/>
        <v>145.49375</v>
      </c>
      <c r="O34" s="11">
        <f t="shared" si="19"/>
        <v>148.27625</v>
      </c>
      <c r="P34" s="11">
        <f t="shared" si="19"/>
        <v>153.0593548</v>
      </c>
    </row>
    <row r="35">
      <c r="B35" s="7" t="s">
        <v>26</v>
      </c>
      <c r="E35" s="11">
        <f t="shared" ref="E35:P35" si="20">($C$33+E8)/E25</f>
        <v>430.5555556</v>
      </c>
      <c r="F35" s="11">
        <f t="shared" si="20"/>
        <v>430.5555556</v>
      </c>
      <c r="G35" s="11">
        <f t="shared" si="20"/>
        <v>430.5555556</v>
      </c>
      <c r="H35" s="11">
        <f t="shared" si="20"/>
        <v>436.1111111</v>
      </c>
      <c r="I35" s="11">
        <f t="shared" si="20"/>
        <v>397.75</v>
      </c>
      <c r="J35" s="11">
        <f t="shared" si="20"/>
        <v>406.57</v>
      </c>
      <c r="K35" s="11">
        <f t="shared" si="20"/>
        <v>378.2687273</v>
      </c>
      <c r="L35" s="11">
        <f t="shared" si="20"/>
        <v>745.8333333</v>
      </c>
      <c r="M35" s="11">
        <f t="shared" si="20"/>
        <v>761.8333333</v>
      </c>
      <c r="N35" s="11">
        <f t="shared" si="20"/>
        <v>775.9666667</v>
      </c>
      <c r="O35" s="11">
        <f t="shared" si="20"/>
        <v>790.8066667</v>
      </c>
      <c r="P35" s="11">
        <f t="shared" si="20"/>
        <v>948.968</v>
      </c>
    </row>
    <row r="38" hidden="1">
      <c r="B38" s="42" t="s">
        <v>3</v>
      </c>
      <c r="D38" s="43" t="s">
        <v>40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</row>
    <row r="39" hidden="1">
      <c r="B39" s="46" t="s">
        <v>4</v>
      </c>
      <c r="C39" s="47"/>
      <c r="D39" s="48" t="s">
        <v>41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</row>
    <row r="40" hidden="1">
      <c r="B40" s="46" t="s">
        <v>5</v>
      </c>
      <c r="C40" s="47"/>
      <c r="D40" s="48" t="s">
        <v>42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</row>
    <row r="41" hidden="1">
      <c r="B41" s="46" t="s">
        <v>6</v>
      </c>
      <c r="C41" s="47"/>
      <c r="D41" s="48" t="s">
        <v>55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</row>
    <row r="42" hidden="1">
      <c r="B42" s="46" t="s">
        <v>7</v>
      </c>
      <c r="C42" s="47"/>
      <c r="D42" s="48" t="s">
        <v>44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</row>
    <row r="43" hidden="1">
      <c r="B43" s="46" t="s">
        <v>8</v>
      </c>
      <c r="C43" s="47"/>
      <c r="D43" s="48" t="s">
        <v>45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</row>
    <row r="44" hidden="1"/>
    <row r="45" hidden="1">
      <c r="B45" s="42" t="s">
        <v>9</v>
      </c>
      <c r="D45" s="43" t="s">
        <v>40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5"/>
    </row>
    <row r="46" hidden="1">
      <c r="B46" s="46" t="s">
        <v>38</v>
      </c>
      <c r="C46" s="47"/>
      <c r="D46" s="48" t="s">
        <v>46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hidden="1">
      <c r="B47" s="46" t="s">
        <v>11</v>
      </c>
      <c r="C47" s="47"/>
      <c r="D47" s="48" t="s">
        <v>56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hidden="1">
      <c r="B48" s="46" t="s">
        <v>39</v>
      </c>
      <c r="C48" s="47"/>
      <c r="D48" s="48" t="s">
        <v>48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hidden="1">
      <c r="B49" s="46" t="s">
        <v>13</v>
      </c>
      <c r="C49" s="47"/>
      <c r="D49" s="48" t="s">
        <v>57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</row>
    <row r="50" hidden="1">
      <c r="B50" s="46" t="s">
        <v>14</v>
      </c>
      <c r="C50" s="47"/>
      <c r="D50" s="48" t="s">
        <v>50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</row>
    <row r="51" hidden="1"/>
    <row r="52" hidden="1">
      <c r="B52" s="42" t="s">
        <v>15</v>
      </c>
      <c r="D52" s="43" t="s">
        <v>40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5"/>
    </row>
    <row r="53" hidden="1">
      <c r="B53" s="46" t="s">
        <v>17</v>
      </c>
      <c r="C53" s="47"/>
      <c r="D53" s="48" t="s">
        <v>58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</row>
    <row r="54" hidden="1">
      <c r="B54" s="46" t="s">
        <v>18</v>
      </c>
      <c r="C54" s="47"/>
      <c r="D54" s="48" t="s">
        <v>52</v>
      </c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</row>
    <row r="55" hidden="1">
      <c r="B55" s="46" t="s">
        <v>19</v>
      </c>
      <c r="C55" s="47"/>
      <c r="D55" s="48" t="s">
        <v>53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</row>
  </sheetData>
  <mergeCells count="37">
    <mergeCell ref="B1:D1"/>
    <mergeCell ref="B5:C5"/>
    <mergeCell ref="B13:C13"/>
    <mergeCell ref="B21:C21"/>
    <mergeCell ref="B30:C30"/>
    <mergeCell ref="B38:C38"/>
    <mergeCell ref="D38:P38"/>
    <mergeCell ref="B39:C39"/>
    <mergeCell ref="D39:P39"/>
    <mergeCell ref="B40:C40"/>
    <mergeCell ref="D40:P40"/>
    <mergeCell ref="B41:C41"/>
    <mergeCell ref="D41:P41"/>
    <mergeCell ref="D42:P42"/>
    <mergeCell ref="B50:C50"/>
    <mergeCell ref="B52:C52"/>
    <mergeCell ref="B53:C53"/>
    <mergeCell ref="B54:C54"/>
    <mergeCell ref="B55:C55"/>
    <mergeCell ref="B42:C42"/>
    <mergeCell ref="B43:C43"/>
    <mergeCell ref="B45:C45"/>
    <mergeCell ref="B46:C46"/>
    <mergeCell ref="B47:C47"/>
    <mergeCell ref="B48:C48"/>
    <mergeCell ref="B49:C49"/>
    <mergeCell ref="D52:P52"/>
    <mergeCell ref="D53:P53"/>
    <mergeCell ref="D54:P54"/>
    <mergeCell ref="D55:P55"/>
    <mergeCell ref="D43:P43"/>
    <mergeCell ref="D45:P45"/>
    <mergeCell ref="D46:P46"/>
    <mergeCell ref="D47:P47"/>
    <mergeCell ref="D48:P48"/>
    <mergeCell ref="D49:P49"/>
    <mergeCell ref="D50:P50"/>
  </mergeCells>
  <drawing r:id="rId1"/>
  <tableParts count="1">
    <tablePart r:id="rId3"/>
  </tableParts>
</worksheet>
</file>