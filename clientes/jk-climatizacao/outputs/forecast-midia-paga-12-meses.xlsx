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as" sheetId="1" state="visible" r:id="rId1"/>
    <sheet xmlns:r="http://schemas.openxmlformats.org/officeDocument/2006/relationships" name="Previsão Meta" sheetId="2" state="visible" r:id="rId2"/>
    <sheet xmlns:r="http://schemas.openxmlformats.org/officeDocument/2006/relationships" name="Previsão Goog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"/>
    <numFmt numFmtId="165" formatCode="mmmyyyy"/>
    <numFmt numFmtId="166" formatCode="#,##0.00;(#,##0.00)"/>
    <numFmt numFmtId="167" formatCode="[$R$ -416]#,##0.00"/>
    <numFmt numFmtId="168" formatCode="0.0%"/>
  </numFmts>
  <fonts count="15">
    <font>
      <name val="Arial"/>
      <color rgb="FF000000"/>
      <sz val="10"/>
      <scheme val="minor"/>
    </font>
    <font>
      <name val="Calibri"/>
      <b val="1"/>
      <color rgb="FFFFFFFF"/>
      <sz val="11"/>
    </font>
    <font>
      <name val="Arial"/>
      <b val="1"/>
      <color rgb="FFFFFFFF"/>
    </font>
    <font>
      <name val="Calibri"/>
      <b val="1"/>
      <i val="1"/>
      <color theme="1"/>
      <sz val="9"/>
    </font>
    <font>
      <name val="Calibri"/>
      <i val="1"/>
      <color theme="1"/>
      <sz val="9"/>
    </font>
    <font>
      <name val="Arial"/>
      <color theme="1"/>
      <sz val="9"/>
      <scheme val="minor"/>
    </font>
    <font>
      <name val="Calibri"/>
      <color theme="1"/>
    </font>
    <font>
      <name val="Arial"/>
      <color theme="1"/>
      <scheme val="minor"/>
    </font>
    <font>
      <name val="Arial"/>
      <color rgb="FFFF6D01"/>
    </font>
    <font>
      <name val="Arial"/>
      <color theme="1"/>
    </font>
    <font>
      <name val="Arial"/>
      <color rgb="FFFFFFFF"/>
      <scheme val="minor"/>
    </font>
    <font>
      <name val="Arial"/>
      <b val="1"/>
      <color theme="1"/>
      <scheme val="minor"/>
    </font>
    <font>
      <name val="Arial"/>
      <color rgb="FFFF0000"/>
    </font>
    <font>
      <name val="Calibri"/>
      <color theme="1"/>
      <sz val="11"/>
    </font>
    <font/>
  </fonts>
  <fills count="8">
    <fill>
      <patternFill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10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164" fontId="1" fillId="2" borderId="0" applyAlignment="1" pivotButton="0" quotePrefix="0" xfId="0">
      <alignment vertical="bottom"/>
    </xf>
    <xf numFmtId="165" fontId="2" fillId="2" borderId="0" applyAlignment="1" pivotButton="0" quotePrefix="0" xfId="0">
      <alignment horizontal="right" vertical="bottom"/>
    </xf>
    <xf numFmtId="164" fontId="3" fillId="0" borderId="0" applyAlignment="1" pivotButton="0" quotePrefix="0" xfId="0">
      <alignment vertical="bottom"/>
    </xf>
    <xf numFmtId="164" fontId="4" fillId="0" borderId="0" applyAlignment="1" pivotButton="0" quotePrefix="0" xfId="0">
      <alignment horizontal="right" vertical="bottom"/>
    </xf>
    <xf numFmtId="0" fontId="1" fillId="3" borderId="0" applyAlignment="1" pivotButton="0" quotePrefix="0" xfId="0">
      <alignment horizontal="center" vertical="bottom"/>
    </xf>
    <xf numFmtId="0" fontId="1" fillId="2" borderId="0" applyAlignment="1" pivotButton="0" quotePrefix="0" xfId="0">
      <alignment horizontal="center" vertical="bottom"/>
    </xf>
    <xf numFmtId="0" fontId="5" fillId="0" borderId="0" pivotButton="0" quotePrefix="0" xfId="0"/>
    <xf numFmtId="166" fontId="6" fillId="3" borderId="0" applyAlignment="1" pivotButton="0" quotePrefix="0" xfId="0">
      <alignment vertical="bottom"/>
    </xf>
    <xf numFmtId="9" fontId="7" fillId="0" borderId="0" pivotButton="0" quotePrefix="0" xfId="0"/>
    <xf numFmtId="167" fontId="7" fillId="4" borderId="1" pivotButton="0" quotePrefix="0" xfId="0"/>
    <xf numFmtId="167" fontId="7" fillId="0" borderId="0" pivotButton="0" quotePrefix="0" xfId="0"/>
    <xf numFmtId="167" fontId="7" fillId="0" borderId="0" pivotButton="0" quotePrefix="0" xfId="0"/>
    <xf numFmtId="168" fontId="8" fillId="4" borderId="1" applyAlignment="1" pivotButton="0" quotePrefix="0" xfId="0">
      <alignment horizontal="right" vertical="bottom"/>
    </xf>
    <xf numFmtId="168" fontId="8" fillId="3" borderId="0" applyAlignment="1" pivotButton="0" quotePrefix="0" xfId="0">
      <alignment horizontal="right" vertical="bottom"/>
    </xf>
    <xf numFmtId="168" fontId="8" fillId="3" borderId="0" applyAlignment="1" pivotButton="0" quotePrefix="0" xfId="0">
      <alignment horizontal="right" vertical="bottom"/>
    </xf>
    <xf numFmtId="167" fontId="7" fillId="5" borderId="2" pivotButton="0" quotePrefix="0" xfId="0"/>
    <xf numFmtId="167" fontId="9" fillId="3" borderId="0" applyAlignment="1" pivotButton="0" quotePrefix="0" xfId="0">
      <alignment horizontal="right" vertical="center"/>
    </xf>
    <xf numFmtId="164" fontId="7" fillId="0" borderId="0" pivotButton="0" quotePrefix="0" xfId="0"/>
    <xf numFmtId="164" fontId="7" fillId="0" borderId="0" pivotButton="0" quotePrefix="0" xfId="0"/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9" fontId="7" fillId="5" borderId="2" pivotButton="0" quotePrefix="0" xfId="0"/>
    <xf numFmtId="0" fontId="7" fillId="0" borderId="0" pivotButton="0" quotePrefix="0" xfId="0"/>
    <xf numFmtId="10" fontId="7" fillId="0" borderId="0" pivotButton="0" quotePrefix="0" xfId="0"/>
    <xf numFmtId="0" fontId="7" fillId="5" borderId="2" pivotButton="0" quotePrefix="0" xfId="0"/>
    <xf numFmtId="164" fontId="10" fillId="0" borderId="0" pivotButton="0" quotePrefix="0" xfId="0"/>
    <xf numFmtId="1" fontId="7" fillId="0" borderId="0" applyAlignment="1" pivotButton="0" quotePrefix="0" xfId="0">
      <alignment horizontal="center"/>
    </xf>
    <xf numFmtId="1" fontId="6" fillId="0" borderId="0" applyAlignment="1" pivotButton="0" quotePrefix="0" xfId="0">
      <alignment vertical="bottom"/>
    </xf>
    <xf numFmtId="1" fontId="7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0" fontId="11" fillId="0" borderId="3" applyAlignment="1" pivotButton="0" quotePrefix="0" xfId="0">
      <alignment vertical="center"/>
    </xf>
    <xf numFmtId="167" fontId="7" fillId="0" borderId="4" applyAlignment="1" pivotButton="0" quotePrefix="0" xfId="0">
      <alignment vertical="center"/>
    </xf>
    <xf numFmtId="0" fontId="12" fillId="0" borderId="0" applyAlignment="1" pivotButton="0" quotePrefix="0" xfId="0">
      <alignment horizontal="center" vertical="bottom"/>
    </xf>
    <xf numFmtId="164" fontId="13" fillId="3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bottom"/>
    </xf>
    <xf numFmtId="0" fontId="11" fillId="7" borderId="3" applyAlignment="1" pivotButton="0" quotePrefix="0" xfId="0">
      <alignment horizontal="center" vertical="center"/>
    </xf>
    <xf numFmtId="0" fontId="14" fillId="0" borderId="5" pivotButton="0" quotePrefix="0" xfId="0"/>
    <xf numFmtId="0" fontId="14" fillId="0" borderId="4" pivotButton="0" quotePrefix="0" xfId="0"/>
    <xf numFmtId="0" fontId="5" fillId="0" borderId="6" applyAlignment="1" pivotButton="0" quotePrefix="0" xfId="0">
      <alignment vertical="center"/>
    </xf>
    <xf numFmtId="0" fontId="14" fillId="0" borderId="6" pivotButton="0" quotePrefix="0" xfId="0"/>
    <xf numFmtId="0" fontId="7" fillId="0" borderId="6" applyAlignment="1" pivotButton="0" quotePrefix="0" xfId="0">
      <alignment horizontal="left" vertical="center" wrapText="1"/>
    </xf>
    <xf numFmtId="0" fontId="7" fillId="0" borderId="0" pivotButton="0" quotePrefix="0" xfId="0"/>
    <xf numFmtId="167" fontId="7" fillId="4" borderId="2" pivotButton="0" quotePrefix="0" xfId="0"/>
    <xf numFmtId="167" fontId="10" fillId="0" borderId="0" pivotButton="0" quotePrefix="0" xfId="0"/>
    <xf numFmtId="0" fontId="0" fillId="0" borderId="0" pivotButton="0" quotePrefix="0" xfId="0"/>
    <xf numFmtId="0" fontId="11" fillId="7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 defaultTableStyle="TableStyleMedium9" defaultPivotStyle="PivotStyleLight16">
    <tableStyle name="Metas-style" pivot="0" count="2">
      <tableStyleElement type="firstRowStripe" dxfId="1"/>
      <tableStyleElement type="secondRowStripe" dxfId="2"/>
    </tableStyle>
    <tableStyle name="Metas-style 2" pivot="0" count="4">
      <tableStyleElement type="headerRow" dxfId="3"/>
      <tableStyleElement type="firstRowStripe" dxfId="2"/>
      <tableStyleElement type="secondRowStripe" dxfId="4"/>
      <tableStyleElement type="wholeTable" size="0" dxfId="5"/>
    </tableStyle>
    <tableStyle name="Previsão Meta-style" pivot="0" count="2">
      <tableStyleElement type="firstRowStripe" dxfId="1"/>
      <tableStyleElement type="secondRowStripe" dxfId="2"/>
    </tableStyle>
    <tableStyle name="Previsão Google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E10:F10" headerRowCount="0">
  <tableColumns count="2">
    <tableColumn id="1" name="Column1"/>
    <tableColumn id="2" name="Column2"/>
  </tableColumns>
  <tableStyleInfo name="Metas-style" showFirstColumn="1" showLastColumn="1" showRowStripes="1" showColumnStripes="0"/>
</table>
</file>

<file path=xl/tables/table2.xml><?xml version="1.0" encoding="utf-8"?>
<table xmlns="http://schemas.openxmlformats.org/spreadsheetml/2006/main" id="2" name="METAS_MENSAIS" displayName="METAS_MENSAIS" ref="C42:F47" headerRowCount="1">
  <tableColumns count="4">
    <tableColumn id="1" name="DESC."/>
    <tableColumn id="2" name="A. ALTA (&gt;70K)"/>
    <tableColumn id="3" name="B. MÉDIA (15&lt;&gt;70K)"/>
    <tableColumn id="4" name="C. BAIXA (2K&lt;&gt;15K)"/>
  </tableColumns>
  <tableStyleInfo name="Metas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E9:F9" headerRowCount="0">
  <tableColumns count="2">
    <tableColumn id="1" name="Column1"/>
    <tableColumn id="2" name="Column2"/>
  </tableColumns>
  <tableStyleInfo name="Previsão Meta-style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E9:F9" headerRowCount="0">
  <tableColumns count="2">
    <tableColumn id="1" name="Column1"/>
    <tableColumn id="2" name="Column2"/>
  </tableColumns>
  <tableStyleInfo name="Previsão Googl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Q49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75" customWidth="1" style="52" min="1" max="1"/>
    <col width="27.75" customWidth="1" style="52" min="2" max="2"/>
    <col width="24.75" customWidth="1" style="52" min="3" max="5"/>
  </cols>
  <sheetData>
    <row r="2">
      <c r="B2" s="1" t="inlineStr">
        <is>
          <t>TODOS OS CANAIS</t>
        </is>
      </c>
      <c r="E2" s="2" t="n">
        <v>46235</v>
      </c>
      <c r="F2" s="2" t="n">
        <v>46266</v>
      </c>
      <c r="G2" s="2" t="n">
        <v>46296</v>
      </c>
      <c r="H2" s="2" t="n">
        <v>46327</v>
      </c>
      <c r="I2" s="2" t="n">
        <v>46357</v>
      </c>
      <c r="J2" s="2" t="n">
        <v>46388</v>
      </c>
      <c r="K2" s="2" t="n">
        <v>46419</v>
      </c>
      <c r="L2" s="2" t="n">
        <v>46447</v>
      </c>
      <c r="M2" s="2" t="n">
        <v>46478</v>
      </c>
      <c r="N2" s="2" t="n">
        <v>46508</v>
      </c>
      <c r="O2" s="2" t="n">
        <v>46539</v>
      </c>
      <c r="P2" s="2" t="n">
        <v>46569</v>
      </c>
    </row>
    <row r="3">
      <c r="B3" s="3" t="inlineStr">
        <is>
          <t>Dias do mês</t>
        </is>
      </c>
      <c r="E3" s="4" t="n">
        <v>31</v>
      </c>
      <c r="F3" s="4" t="n">
        <v>30</v>
      </c>
      <c r="G3" s="4" t="n">
        <v>31</v>
      </c>
      <c r="H3" s="4" t="n">
        <v>30</v>
      </c>
      <c r="I3" s="4" t="n">
        <v>31</v>
      </c>
      <c r="J3" s="4" t="n">
        <v>31</v>
      </c>
      <c r="K3" s="4" t="n">
        <v>28</v>
      </c>
      <c r="L3" s="4" t="n">
        <v>31</v>
      </c>
      <c r="M3" s="4" t="n">
        <v>30</v>
      </c>
      <c r="N3" s="4" t="n">
        <v>31</v>
      </c>
      <c r="O3" s="4" t="n">
        <v>30</v>
      </c>
      <c r="P3" s="4" t="n">
        <v>31</v>
      </c>
    </row>
    <row r="4">
      <c r="B4" s="3" t="inlineStr">
        <is>
          <t xml:space="preserve">Dias úteis </t>
        </is>
      </c>
      <c r="E4" s="4" t="n">
        <v>21</v>
      </c>
      <c r="F4" s="4" t="n">
        <v>22</v>
      </c>
      <c r="G4" s="4" t="n">
        <v>22</v>
      </c>
      <c r="H4" s="4" t="n">
        <v>21</v>
      </c>
      <c r="I4" s="4" t="n">
        <v>23</v>
      </c>
      <c r="J4" s="4" t="n">
        <v>21</v>
      </c>
      <c r="K4" s="4" t="n">
        <v>20</v>
      </c>
      <c r="L4" s="4" t="n">
        <v>23</v>
      </c>
      <c r="M4" s="4" t="n">
        <v>22</v>
      </c>
      <c r="N4" s="4" t="n">
        <v>21</v>
      </c>
      <c r="O4" s="4" t="n">
        <v>22</v>
      </c>
      <c r="P4" s="4" t="n">
        <v>22</v>
      </c>
    </row>
    <row r="5">
      <c r="B5" s="5" t="n"/>
      <c r="C5" s="5" t="n"/>
      <c r="E5" s="3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B6" s="6" t="inlineStr">
        <is>
          <t>PREMISSAS DE MARKETING</t>
        </is>
      </c>
      <c r="E6" s="3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0" t="inlineStr">
        <is>
          <t>NOTA: valores atualizados em 10/07/2026 com a nova planilha de keywords (dedup: volume real triplicou para ~2.534 buscas/mês, mas o segmento B2B/PMOC específico continua com volume mínimo — ~68/mês). Sazonalidade mais concentrada em dezembro. Totais anuais não mudam, a distribuição mensal sim. Ver forecast-midia-paga-12-meses.md, seção 'Atualização 10/07/2026'.</t>
        </is>
      </c>
    </row>
    <row r="8">
      <c r="B8" s="7" t="inlineStr">
        <is>
          <t>Controle investimento (var. %)</t>
        </is>
      </c>
      <c r="C8" s="8">
        <f>IFERROR(FORMULATEXT(G8),"")</f>
        <v/>
      </c>
      <c r="E8" s="9">
        <f>IFERROR(E9/E9-1,0)</f>
        <v/>
      </c>
      <c r="F8" s="9">
        <f>IFERROR(F9/E9-1,0)</f>
        <v/>
      </c>
      <c r="G8" s="9">
        <f>IFERROR(G9/F9-1,0)</f>
        <v/>
      </c>
      <c r="H8" s="9">
        <f>IFERROR(H9/G9-1,0)</f>
        <v/>
      </c>
      <c r="I8" s="9">
        <f>IFERROR(I9/H9-1,0)</f>
        <v/>
      </c>
      <c r="J8" s="9">
        <f>IFERROR(J9/I9-1,0)</f>
        <v/>
      </c>
      <c r="K8" s="9">
        <f>IFERROR(K9/J9-1,0)</f>
        <v/>
      </c>
      <c r="L8" s="9">
        <f>IFERROR(L9/K9-1,0)</f>
        <v/>
      </c>
      <c r="M8" s="9">
        <f>IFERROR(M9/L9-1,0)</f>
        <v/>
      </c>
      <c r="N8" s="9">
        <f>IFERROR(N9/M9-1,0)</f>
        <v/>
      </c>
      <c r="O8" s="9">
        <f>IFERROR(O9/N9-1,0)</f>
        <v/>
      </c>
      <c r="P8" s="9">
        <f>IFERROR(P9/O9-1,0)</f>
        <v/>
      </c>
    </row>
    <row r="9">
      <c r="B9" s="7" t="inlineStr">
        <is>
          <t>Investimento</t>
        </is>
      </c>
      <c r="C9" s="8">
        <f>IFERROR(FORMULATEXT(G9),"")</f>
        <v/>
      </c>
      <c r="E9" s="10">
        <f>'Previsão Google'!E8+'Previsão Meta'!E8</f>
        <v/>
      </c>
      <c r="F9" s="12">
        <f>'Previsão Google'!F8+'Previsão Meta'!F8</f>
        <v/>
      </c>
      <c r="G9" s="12">
        <f>'Previsão Google'!G8+'Previsão Meta'!G8</f>
        <v/>
      </c>
      <c r="H9" s="12">
        <f>'Previsão Google'!H8+'Previsão Meta'!H8</f>
        <v/>
      </c>
      <c r="I9" s="12">
        <f>'Previsão Google'!I8+'Previsão Meta'!I8</f>
        <v/>
      </c>
      <c r="J9" s="12">
        <f>'Previsão Google'!J8+'Previsão Meta'!J8</f>
        <v/>
      </c>
      <c r="K9" s="12">
        <f>'Previsão Google'!K8+'Previsão Meta'!K8</f>
        <v/>
      </c>
      <c r="L9" s="12">
        <f>'Previsão Google'!L8+'Previsão Meta'!L8</f>
        <v/>
      </c>
      <c r="M9" s="12">
        <f>'Previsão Google'!M8+'Previsão Meta'!M8</f>
        <v/>
      </c>
      <c r="N9" s="12">
        <f>'Previsão Google'!N8+'Previsão Meta'!N8</f>
        <v/>
      </c>
      <c r="O9" s="12">
        <f>'Previsão Google'!O8+'Previsão Meta'!O8</f>
        <v/>
      </c>
      <c r="P9" s="12">
        <f>'Previsão Google'!P8+'Previsão Meta'!P8</f>
        <v/>
      </c>
    </row>
    <row r="10">
      <c r="B10" s="7" t="inlineStr">
        <is>
          <t>Variação do CPL</t>
        </is>
      </c>
      <c r="C10" s="8">
        <f>IFERROR(FORMULATEXT(G10),"")</f>
        <v/>
      </c>
      <c r="E10" s="13" t="n">
        <v>0.12</v>
      </c>
      <c r="F10" s="15" t="n">
        <v>0.025</v>
      </c>
      <c r="G10" s="15" t="n">
        <v>0.025</v>
      </c>
      <c r="H10" s="15" t="n">
        <v>0.025</v>
      </c>
      <c r="I10" s="15" t="n">
        <v>0.025</v>
      </c>
      <c r="J10" s="15" t="n">
        <v>0.025</v>
      </c>
      <c r="K10" s="15" t="n">
        <v>0</v>
      </c>
      <c r="L10" s="15" t="n">
        <v>0</v>
      </c>
      <c r="M10" s="15" t="n">
        <v>0.025</v>
      </c>
      <c r="N10" s="15" t="n">
        <v>0.025</v>
      </c>
      <c r="O10" s="15" t="n">
        <v>0.025</v>
      </c>
      <c r="P10" s="15" t="n">
        <v>0.025</v>
      </c>
    </row>
    <row r="11">
      <c r="B11" s="7" t="inlineStr">
        <is>
          <t>Custo por Lead</t>
        </is>
      </c>
      <c r="C11" s="16">
        <f>('Previsão Meta'!C10+'Previsão Google'!E10)/2</f>
        <v/>
      </c>
      <c r="E11" s="17">
        <f>IFERROR(AVERAGE('Previsão Google'!E10,'Previsão Meta'!E10),0)</f>
        <v/>
      </c>
      <c r="F11" s="17">
        <f>IFERROR(AVERAGE('Previsão Google'!F10,'Previsão Meta'!F10),0)</f>
        <v/>
      </c>
      <c r="G11" s="17">
        <f>IFERROR(AVERAGE('Previsão Google'!G10,'Previsão Meta'!G10),0)</f>
        <v/>
      </c>
      <c r="H11" s="17">
        <f>IFERROR(AVERAGE('Previsão Google'!H10,'Previsão Meta'!H10),0)</f>
        <v/>
      </c>
      <c r="I11" s="17">
        <f>IFERROR(AVERAGE('Previsão Google'!I10,'Previsão Meta'!I10),0)</f>
        <v/>
      </c>
      <c r="J11" s="17">
        <f>IFERROR(AVERAGE('Previsão Google'!J10,'Previsão Meta'!J10),0)</f>
        <v/>
      </c>
      <c r="K11" s="17">
        <f>IFERROR(AVERAGE('Previsão Google'!K10,'Previsão Meta'!K10),0)</f>
        <v/>
      </c>
      <c r="L11" s="17">
        <f>IFERROR(AVERAGE('Previsão Google'!L10,'Previsão Meta'!L10),0)</f>
        <v/>
      </c>
      <c r="M11" s="17">
        <f>IFERROR(AVERAGE('Previsão Google'!M10,'Previsão Meta'!M10),0)</f>
        <v/>
      </c>
      <c r="N11" s="17">
        <f>IFERROR(AVERAGE('Previsão Google'!N10,'Previsão Meta'!N10),0)</f>
        <v/>
      </c>
      <c r="O11" s="17">
        <f>IFERROR(AVERAGE('Previsão Google'!O10,'Previsão Meta'!O10),0)</f>
        <v/>
      </c>
      <c r="P11" s="17">
        <f>IFERROR(AVERAGE('Previsão Google'!P10,'Previsão Meta'!P10),0)</f>
        <v/>
      </c>
    </row>
    <row r="12">
      <c r="B12" s="7" t="inlineStr">
        <is>
          <t>Leads Gerados</t>
        </is>
      </c>
      <c r="C12" s="8">
        <f>IFERROR(FORMULATEXT(G12),"")</f>
        <v/>
      </c>
      <c r="E12" s="19">
        <f>ROUND(E9/E11,0)</f>
        <v/>
      </c>
      <c r="F12" s="19">
        <f>ROUND(F9/F11,0)</f>
        <v/>
      </c>
      <c r="G12" s="19">
        <f>ROUND(G9/G11,0)</f>
        <v/>
      </c>
      <c r="H12" s="19">
        <f>ROUND(H9/H11,0)</f>
        <v/>
      </c>
      <c r="I12" s="19">
        <f>ROUND(I9/I11,0)</f>
        <v/>
      </c>
      <c r="J12" s="19">
        <f>ROUND(J9/J11,0)</f>
        <v/>
      </c>
      <c r="K12" s="19">
        <f>ROUND(K9/K11,0)</f>
        <v/>
      </c>
      <c r="L12" s="19">
        <f>ROUND(L9/L11,0)</f>
        <v/>
      </c>
      <c r="M12" s="19">
        <f>ROUND(M9/M11,0)</f>
        <v/>
      </c>
      <c r="N12" s="19">
        <f>ROUND(N9/N11,0)</f>
        <v/>
      </c>
      <c r="O12" s="19">
        <f>ROUND(O9/O11,0)</f>
        <v/>
      </c>
      <c r="P12" s="19">
        <f>ROUND(P9/P11,0)</f>
        <v/>
      </c>
    </row>
    <row r="13">
      <c r="P13" s="21" t="n"/>
    </row>
    <row r="14">
      <c r="B14" s="6" t="inlineStr">
        <is>
          <t>PREMISSAS DE PRÉ-VENDA</t>
        </is>
      </c>
      <c r="P14" s="21" t="n"/>
    </row>
    <row r="15">
      <c r="P15" s="21" t="n"/>
    </row>
    <row r="16">
      <c r="B16" s="7" t="inlineStr">
        <is>
          <t>Leads (WhatsApp / Site / Instagram)</t>
        </is>
      </c>
      <c r="C16" s="8">
        <f>IFERROR(FORMULATEXT(G16),"")</f>
        <v/>
      </c>
      <c r="E16" s="19">
        <f>E12</f>
        <v/>
      </c>
      <c r="F16" s="19">
        <f>F12</f>
        <v/>
      </c>
      <c r="G16" s="19">
        <f>G12</f>
        <v/>
      </c>
      <c r="H16" s="19">
        <f>H12</f>
        <v/>
      </c>
      <c r="I16" s="19">
        <f>I12</f>
        <v/>
      </c>
      <c r="J16" s="19">
        <f>J12</f>
        <v/>
      </c>
      <c r="K16" s="19">
        <f>K12</f>
        <v/>
      </c>
      <c r="L16" s="19">
        <f>L12</f>
        <v/>
      </c>
      <c r="M16" s="19">
        <f>M12</f>
        <v/>
      </c>
      <c r="N16" s="19">
        <f>N12</f>
        <v/>
      </c>
      <c r="O16" s="19">
        <f>O12</f>
        <v/>
      </c>
      <c r="P16" s="19">
        <f>P12</f>
        <v/>
      </c>
    </row>
    <row r="17">
      <c r="B17" s="7" t="inlineStr">
        <is>
          <t>Leads &gt; MQL</t>
        </is>
      </c>
      <c r="C17" s="8">
        <f>IFERROR(FORMULATEXT(G17),"")</f>
        <v/>
      </c>
      <c r="E17" s="22" t="n">
        <v>0.75</v>
      </c>
      <c r="F17" s="22" t="n">
        <v>0.75</v>
      </c>
      <c r="G17" s="22" t="n">
        <v>0.75</v>
      </c>
      <c r="H17" s="22" t="n">
        <v>0.75</v>
      </c>
      <c r="I17" s="22" t="n">
        <v>0.75</v>
      </c>
      <c r="J17" s="22" t="n">
        <v>0.75</v>
      </c>
      <c r="K17" s="22" t="n">
        <v>0.75</v>
      </c>
      <c r="L17" s="22" t="n">
        <v>0.75</v>
      </c>
      <c r="M17" s="22" t="n">
        <v>0.75</v>
      </c>
      <c r="N17" s="22" t="n">
        <v>0.75</v>
      </c>
      <c r="O17" s="22" t="n">
        <v>0.75</v>
      </c>
      <c r="P17" s="22" t="n">
        <v>0.75</v>
      </c>
    </row>
    <row r="18">
      <c r="B18" s="7" t="inlineStr">
        <is>
          <t>MQL (Qualificados)</t>
        </is>
      </c>
      <c r="C18" s="8">
        <f>IFERROR(FORMULATEXT(G18),"")</f>
        <v/>
      </c>
      <c r="E18" s="49">
        <f>ROUND((E16*E17),0)</f>
        <v/>
      </c>
      <c r="F18" s="49">
        <f>ROUND((F16*F17),0)</f>
        <v/>
      </c>
      <c r="G18" s="49">
        <f>ROUND((G16*G17),0)</f>
        <v/>
      </c>
      <c r="H18" s="49">
        <f>ROUND((H16*H17),0)</f>
        <v/>
      </c>
      <c r="I18" s="49">
        <f>ROUND((I16*I17),0)</f>
        <v/>
      </c>
      <c r="J18" s="49">
        <f>ROUND((J16*J17),0)</f>
        <v/>
      </c>
      <c r="K18" s="49">
        <f>ROUND((K16*K17),0)</f>
        <v/>
      </c>
      <c r="L18" s="49">
        <f>ROUND((L16*L17),0)</f>
        <v/>
      </c>
      <c r="M18" s="49">
        <f>ROUND((M16*M17),0)</f>
        <v/>
      </c>
      <c r="N18" s="49">
        <f>ROUND((N16*N17),0)</f>
        <v/>
      </c>
      <c r="O18" s="49">
        <f>ROUND((O16*O17),0)</f>
        <v/>
      </c>
      <c r="P18" s="49">
        <f>ROUND((P16*P17),0)</f>
        <v/>
      </c>
    </row>
    <row r="19">
      <c r="B19" s="7" t="inlineStr">
        <is>
          <t>MQL &gt; SQL</t>
        </is>
      </c>
      <c r="C19" s="8">
        <f>IFERROR(FORMULATEXT(G19),"")</f>
        <v/>
      </c>
      <c r="E19" s="22" t="n">
        <v>0.35</v>
      </c>
      <c r="F19" s="22" t="n">
        <v>0.35</v>
      </c>
      <c r="G19" s="22" t="n">
        <v>0.35</v>
      </c>
      <c r="H19" s="22" t="n">
        <v>0.35</v>
      </c>
      <c r="I19" s="22" t="n">
        <v>0.35</v>
      </c>
      <c r="J19" s="22" t="n">
        <v>0.35</v>
      </c>
      <c r="K19" s="22" t="n">
        <v>0.35</v>
      </c>
      <c r="L19" s="22" t="n">
        <v>0.35</v>
      </c>
      <c r="M19" s="22" t="n">
        <v>0.35</v>
      </c>
      <c r="N19" s="22" t="n">
        <v>0.35</v>
      </c>
      <c r="O19" s="22" t="n">
        <v>0.35</v>
      </c>
      <c r="P19" s="22" t="n">
        <v>0.35</v>
      </c>
    </row>
    <row r="20">
      <c r="B20" s="7" t="inlineStr">
        <is>
          <t>SQL (Orçamento)</t>
        </is>
      </c>
      <c r="C20" s="8">
        <f>IFERROR(FORMULATEXT(G20),"")</f>
        <v/>
      </c>
      <c r="E20" s="49">
        <f>ROUND(E18*E19,0)</f>
        <v/>
      </c>
      <c r="F20" s="49">
        <f>ROUND(F18*F19,0)</f>
        <v/>
      </c>
      <c r="G20" s="49">
        <f>ROUND(G18*G19,0)</f>
        <v/>
      </c>
      <c r="H20" s="49">
        <f>ROUND(H18*H19,0)</f>
        <v/>
      </c>
      <c r="I20" s="49">
        <f>ROUND(I18*I19,0)</f>
        <v/>
      </c>
      <c r="J20" s="49">
        <f>ROUND(J18*J19,0)</f>
        <v/>
      </c>
      <c r="K20" s="49">
        <f>ROUND(K18*K19,0)</f>
        <v/>
      </c>
      <c r="L20" s="49">
        <f>ROUND(L18*L19,0)</f>
        <v/>
      </c>
      <c r="M20" s="49">
        <f>ROUND(M18*M19,0)</f>
        <v/>
      </c>
      <c r="N20" s="49">
        <f>ROUND(N18*N19,0)</f>
        <v/>
      </c>
      <c r="O20" s="49">
        <f>ROUND(O18*O19,0)</f>
        <v/>
      </c>
      <c r="P20" s="49">
        <f>ROUND(P18*P19,0)</f>
        <v/>
      </c>
    </row>
    <row r="21">
      <c r="E21" s="24">
        <f>IFERROR(E20/E16,0)</f>
        <v/>
      </c>
      <c r="P21" s="21" t="n"/>
    </row>
    <row r="22">
      <c r="B22" s="6" t="inlineStr">
        <is>
          <t>PREMISSAS DE VENDAS</t>
        </is>
      </c>
      <c r="P22" s="21" t="n"/>
    </row>
    <row r="24">
      <c r="B24" s="7" t="inlineStr">
        <is>
          <t>SQL</t>
        </is>
      </c>
      <c r="C24" s="8">
        <f>IFERROR(FORMULATEXT(G24),"")</f>
        <v/>
      </c>
      <c r="E24" s="49">
        <f>E20</f>
        <v/>
      </c>
      <c r="F24" s="49">
        <f>F20</f>
        <v/>
      </c>
      <c r="G24" s="49">
        <f>G20</f>
        <v/>
      </c>
      <c r="H24" s="49">
        <f>H20</f>
        <v/>
      </c>
      <c r="I24" s="49">
        <f>I20</f>
        <v/>
      </c>
      <c r="J24" s="49">
        <f>J20</f>
        <v/>
      </c>
      <c r="K24" s="49">
        <f>K20</f>
        <v/>
      </c>
      <c r="L24" s="49">
        <f>L20</f>
        <v/>
      </c>
      <c r="M24" s="49">
        <f>M20</f>
        <v/>
      </c>
      <c r="N24" s="49">
        <f>N20</f>
        <v/>
      </c>
      <c r="O24" s="49">
        <f>O20</f>
        <v/>
      </c>
      <c r="P24" s="49">
        <f>P20</f>
        <v/>
      </c>
    </row>
    <row r="25">
      <c r="B25" s="7" t="inlineStr">
        <is>
          <t>SQL &gt; Venda</t>
        </is>
      </c>
      <c r="C25" s="8">
        <f>IFERROR(FORMULATEXT(G25),"")</f>
        <v/>
      </c>
      <c r="E25" s="22" t="n">
        <v>0.25</v>
      </c>
      <c r="F25" s="22" t="n">
        <v>0.25</v>
      </c>
      <c r="G25" s="22" t="n">
        <v>0.25</v>
      </c>
      <c r="H25" s="22" t="n">
        <v>0.25</v>
      </c>
      <c r="I25" s="22" t="n">
        <v>0.25</v>
      </c>
      <c r="J25" s="22" t="n">
        <v>0.25</v>
      </c>
      <c r="K25" s="22" t="n">
        <v>0.25</v>
      </c>
      <c r="L25" s="22" t="n">
        <v>0.25</v>
      </c>
      <c r="M25" s="22" t="n">
        <v>0.25</v>
      </c>
      <c r="N25" s="22" t="n">
        <v>0.25</v>
      </c>
      <c r="O25" s="22" t="n">
        <v>0.25</v>
      </c>
      <c r="P25" s="22" t="n">
        <v>0.25</v>
      </c>
    </row>
    <row r="26">
      <c r="B26" s="7" t="inlineStr">
        <is>
          <t>Venda</t>
        </is>
      </c>
      <c r="C26" s="8">
        <f>IFERROR(FORMULATEXT(G26),"")</f>
        <v/>
      </c>
      <c r="E26" s="49">
        <f>ROUND(E24*E25,0)</f>
        <v/>
      </c>
      <c r="F26" s="49">
        <f>ROUND(F24*F25,0)</f>
        <v/>
      </c>
      <c r="G26" s="49">
        <f>ROUND(G24*G25,0)</f>
        <v/>
      </c>
      <c r="H26" s="49">
        <f>ROUND(H24*H25,0)</f>
        <v/>
      </c>
      <c r="I26" s="49">
        <f>ROUND(I24*I25,0)</f>
        <v/>
      </c>
      <c r="J26" s="49">
        <f>ROUND(J24*J25,0)</f>
        <v/>
      </c>
      <c r="K26" s="49">
        <f>ROUND(K24*K25,0)</f>
        <v/>
      </c>
      <c r="L26" s="49">
        <f>ROUND(L24*L25,0)</f>
        <v/>
      </c>
      <c r="M26" s="49">
        <f>ROUND(M24*M25,0)</f>
        <v/>
      </c>
      <c r="N26" s="49">
        <f>ROUND(N24*N25,0)</f>
        <v/>
      </c>
      <c r="O26" s="49">
        <f>ROUND(O24*O25,0)</f>
        <v/>
      </c>
      <c r="P26" s="49">
        <f>ROUND(P24*P25,0)</f>
        <v/>
      </c>
    </row>
    <row r="27">
      <c r="B27" s="7" t="inlineStr">
        <is>
          <t>Ticket Médio</t>
        </is>
      </c>
      <c r="C27" s="8">
        <f>IFERROR(FORMULATEXT(G27),"")</f>
        <v/>
      </c>
      <c r="E27" s="16">
        <f>D49</f>
        <v/>
      </c>
      <c r="F27" s="12">
        <f>E27</f>
        <v/>
      </c>
      <c r="G27" s="12">
        <f>F27</f>
        <v/>
      </c>
      <c r="H27" s="12">
        <f>G27</f>
        <v/>
      </c>
      <c r="I27" s="12">
        <f>H27</f>
        <v/>
      </c>
      <c r="J27" s="12">
        <f>I27</f>
        <v/>
      </c>
      <c r="K27" s="12">
        <f>J27</f>
        <v/>
      </c>
      <c r="L27" s="12">
        <f>K27</f>
        <v/>
      </c>
      <c r="M27" s="12">
        <f>L27</f>
        <v/>
      </c>
      <c r="N27" s="12">
        <f>M27</f>
        <v/>
      </c>
      <c r="O27" s="12">
        <f>N27</f>
        <v/>
      </c>
      <c r="P27" s="12">
        <f>O27</f>
        <v/>
      </c>
    </row>
    <row r="28">
      <c r="B28" s="7" t="inlineStr">
        <is>
          <t>Faturamento</t>
        </is>
      </c>
      <c r="C28" s="8">
        <f>IFERROR(FORMULATEXT(G28),"")</f>
        <v/>
      </c>
      <c r="E28" s="12">
        <f>E26*E27</f>
        <v/>
      </c>
      <c r="F28" s="12">
        <f>F26*F27</f>
        <v/>
      </c>
      <c r="G28" s="12">
        <f>G26*G27</f>
        <v/>
      </c>
      <c r="H28" s="12">
        <f>H26*H27</f>
        <v/>
      </c>
      <c r="I28" s="12">
        <f>I26*I27</f>
        <v/>
      </c>
      <c r="J28" s="12">
        <f>J26*J27</f>
        <v/>
      </c>
      <c r="K28" s="12">
        <f>K26*K27</f>
        <v/>
      </c>
      <c r="L28" s="12">
        <f>L26*L27</f>
        <v/>
      </c>
      <c r="M28" s="12">
        <f>M26*M27</f>
        <v/>
      </c>
      <c r="N28" s="12">
        <f>N26*N27</f>
        <v/>
      </c>
      <c r="O28" s="12">
        <f>O26*O27</f>
        <v/>
      </c>
      <c r="P28" s="12">
        <f>P26*P27</f>
        <v/>
      </c>
    </row>
    <row r="29">
      <c r="B29" s="7" t="inlineStr">
        <is>
          <t>LTV</t>
        </is>
      </c>
      <c r="C29" s="25" t="n">
        <v>23.2</v>
      </c>
      <c r="E29" s="26">
        <f>E28*$C$29</f>
        <v/>
      </c>
      <c r="F29" s="26">
        <f>F28*$C$29</f>
        <v/>
      </c>
      <c r="G29" s="26">
        <f>G28*$C$29</f>
        <v/>
      </c>
      <c r="H29" s="26">
        <f>H28*$C$29</f>
        <v/>
      </c>
      <c r="I29" s="26">
        <f>I28*$C$29</f>
        <v/>
      </c>
      <c r="J29" s="26">
        <f>J28*$C$29</f>
        <v/>
      </c>
      <c r="K29" s="26">
        <f>K28*$C$29</f>
        <v/>
      </c>
      <c r="L29" s="26">
        <f>L28*$C$29</f>
        <v/>
      </c>
      <c r="M29" s="26">
        <f>M28*$C$29</f>
        <v/>
      </c>
      <c r="N29" s="26">
        <f>N28*$C$29</f>
        <v/>
      </c>
      <c r="O29" s="26">
        <f>O28*$C$29</f>
        <v/>
      </c>
      <c r="P29" s="26">
        <f>P28*$C$29</f>
        <v/>
      </c>
    </row>
    <row r="30">
      <c r="F30" s="27" t="n"/>
    </row>
    <row r="31">
      <c r="B31" s="6" t="inlineStr">
        <is>
          <t>KPI</t>
        </is>
      </c>
      <c r="D31" s="28" t="n"/>
    </row>
    <row r="33">
      <c r="B33" s="7" t="inlineStr">
        <is>
          <t>ROAS</t>
        </is>
      </c>
      <c r="E33" s="29">
        <f>IFERROR(E28/E9,0)</f>
        <v/>
      </c>
      <c r="F33" s="29">
        <f>IFERROR(F28/F9,0)</f>
        <v/>
      </c>
      <c r="G33" s="29">
        <f>IFERROR(G28/G9,0)</f>
        <v/>
      </c>
      <c r="H33" s="29">
        <f>IFERROR(H28/H9,0)</f>
        <v/>
      </c>
      <c r="I33" s="29">
        <f>IFERROR(I28/I9,0)</f>
        <v/>
      </c>
      <c r="J33" s="29">
        <f>IFERROR(J28/J9,0)</f>
        <v/>
      </c>
      <c r="K33" s="29">
        <f>IFERROR(K28/K9,0)</f>
        <v/>
      </c>
      <c r="L33" s="29">
        <f>IFERROR(L28/L9,0)</f>
        <v/>
      </c>
      <c r="M33" s="29">
        <f>IFERROR(M28/M9,0)</f>
        <v/>
      </c>
      <c r="N33" s="29">
        <f>IFERROR(N28/N9,0)</f>
        <v/>
      </c>
      <c r="O33" s="29">
        <f>IFERROR(O28/O9,0)</f>
        <v/>
      </c>
      <c r="P33" s="29">
        <f>IFERROR(P28/P9,0)</f>
        <v/>
      </c>
    </row>
    <row r="34">
      <c r="B34" s="7" t="inlineStr">
        <is>
          <t>CPL (CAC)</t>
        </is>
      </c>
      <c r="C34" s="16" t="n">
        <v>0</v>
      </c>
      <c r="E34" s="12">
        <f>IFERROR(($C$34+E9)/E12,0)</f>
        <v/>
      </c>
      <c r="F34" s="12">
        <f>IFERROR(($C$34+F9)/F12,0)</f>
        <v/>
      </c>
      <c r="G34" s="12">
        <f>IFERROR(($C$34+G9)/G12,0)</f>
        <v/>
      </c>
      <c r="H34" s="12">
        <f>IFERROR(($C$34+H9)/H12,0)</f>
        <v/>
      </c>
      <c r="I34" s="12">
        <f>IFERROR(($C$34+I9)/I12,0)</f>
        <v/>
      </c>
      <c r="J34" s="12">
        <f>IFERROR(($C$34+J9)/J12,0)</f>
        <v/>
      </c>
      <c r="K34" s="12">
        <f>IFERROR(($C$34+K9)/K12,0)</f>
        <v/>
      </c>
      <c r="L34" s="12">
        <f>IFERROR(($C$34+L9)/L12,0)</f>
        <v/>
      </c>
      <c r="M34" s="12">
        <f>IFERROR(($C$34+M9)/M12,0)</f>
        <v/>
      </c>
      <c r="N34" s="12">
        <f>IFERROR(($C$34+N9)/N12,0)</f>
        <v/>
      </c>
      <c r="O34" s="12">
        <f>IFERROR(($C$34+O9)/O12,0)</f>
        <v/>
      </c>
      <c r="P34" s="12">
        <f>IFERROR(($C$34+P9)/P12,0)</f>
        <v/>
      </c>
    </row>
    <row r="35">
      <c r="B35" s="7" t="inlineStr">
        <is>
          <t>CPO</t>
        </is>
      </c>
      <c r="E35" s="12">
        <f>IFERROR(($C$34+E9)/E18,0)</f>
        <v/>
      </c>
      <c r="F35" s="12">
        <f>IFERROR(($C$34+F9)/F18,0)</f>
        <v/>
      </c>
      <c r="G35" s="12">
        <f>IFERROR(($C$34+G9)/G18,0)</f>
        <v/>
      </c>
      <c r="H35" s="12">
        <f>IFERROR(($C$34+H9)/H18,0)</f>
        <v/>
      </c>
      <c r="I35" s="12">
        <f>IFERROR(($C$34+I9)/I18,0)</f>
        <v/>
      </c>
      <c r="J35" s="12">
        <f>IFERROR(($C$34+J9)/J18,0)</f>
        <v/>
      </c>
      <c r="K35" s="12">
        <f>IFERROR(($C$34+K9)/K18,0)</f>
        <v/>
      </c>
      <c r="L35" s="12">
        <f>IFERROR(($C$34+L9)/L18,0)</f>
        <v/>
      </c>
      <c r="M35" s="12">
        <f>IFERROR(($C$34+M9)/M18,0)</f>
        <v/>
      </c>
      <c r="N35" s="12">
        <f>IFERROR(($C$34+N9)/N18,0)</f>
        <v/>
      </c>
      <c r="O35" s="12">
        <f>IFERROR(($C$34+O9)/O18,0)</f>
        <v/>
      </c>
      <c r="P35" s="12">
        <f>IFERROR(($C$34+P9)/P18,0)</f>
        <v/>
      </c>
    </row>
    <row r="36">
      <c r="B36" s="7" t="inlineStr">
        <is>
          <t>CPV</t>
        </is>
      </c>
      <c r="E36" s="12">
        <f>IFERROR(($C$34+E9)/E26,0)</f>
        <v/>
      </c>
      <c r="F36" s="12">
        <f>IFERROR(($C$34+F9)/F26,0)</f>
        <v/>
      </c>
      <c r="G36" s="12">
        <f>IFERROR(($C$34+G9)/G26,0)</f>
        <v/>
      </c>
      <c r="H36" s="12">
        <f>IFERROR(($C$34+H9)/H26,0)</f>
        <v/>
      </c>
      <c r="I36" s="12">
        <f>IFERROR(($C$34+I9)/I26,0)</f>
        <v/>
      </c>
      <c r="J36" s="12">
        <f>IFERROR(($C$34+J9)/J26,0)</f>
        <v/>
      </c>
      <c r="K36" s="12">
        <f>IFERROR(($C$34+K9)/K26,0)</f>
        <v/>
      </c>
      <c r="L36" s="12">
        <f>IFERROR(($C$34+L9)/L26,0)</f>
        <v/>
      </c>
      <c r="M36" s="12">
        <f>IFERROR(($C$34+M9)/M26,0)</f>
        <v/>
      </c>
      <c r="N36" s="12">
        <f>IFERROR(($C$34+N9)/N26,0)</f>
        <v/>
      </c>
      <c r="O36" s="12">
        <f>IFERROR(($C$34+O9)/O26,0)</f>
        <v/>
      </c>
      <c r="P36" s="12">
        <f>IFERROR(($C$34+P9)/P26,0)</f>
        <v/>
      </c>
    </row>
    <row r="41" hidden="1" s="52"/>
    <row r="42" hidden="1" ht="22.5" customHeight="1" s="52">
      <c r="C42" s="30" t="inlineStr">
        <is>
          <t>DESC.</t>
        </is>
      </c>
      <c r="D42" s="31" t="inlineStr">
        <is>
          <t>B2B INDUSTRIAL</t>
        </is>
      </c>
      <c r="E42" s="31" t="inlineStr">
        <is>
          <t>COMERCIAL GERAL</t>
        </is>
      </c>
      <c r="F42" s="31" t="inlineStr">
        <is>
          <t>AVULSO (NÃO PRIORIZADO)</t>
        </is>
      </c>
    </row>
    <row r="43" hidden="1" ht="22.5" customHeight="1" s="52">
      <c r="C43" s="32" t="inlineStr">
        <is>
          <t>TKM</t>
        </is>
      </c>
      <c r="D43" s="37" t="n">
        <v>714</v>
      </c>
      <c r="E43" s="37" t="n">
        <v>320</v>
      </c>
      <c r="F43" s="37" t="n">
        <v>0</v>
      </c>
    </row>
    <row r="44" hidden="1" ht="22.5" customHeight="1" s="52">
      <c r="C44" s="32" t="inlineStr">
        <is>
          <t>SQL (ORÇAMENOS QUALIFICADOS)</t>
        </is>
      </c>
      <c r="D44" s="36" t="n">
        <v>34</v>
      </c>
      <c r="E44" s="36" t="n">
        <v>86</v>
      </c>
      <c r="F44" s="36" t="n">
        <v>0</v>
      </c>
    </row>
    <row r="45" hidden="1" ht="22.5" customHeight="1" s="52">
      <c r="C45" s="32" t="inlineStr">
        <is>
          <t>TX CONVERSÃO</t>
        </is>
      </c>
      <c r="D45" s="35" t="n">
        <v>0.25</v>
      </c>
      <c r="E45" s="35" t="n">
        <v>0.25</v>
      </c>
      <c r="F45" s="35" t="n">
        <v>0.25</v>
      </c>
    </row>
    <row r="46" hidden="1" ht="22.5" customHeight="1" s="52">
      <c r="C46" s="32" t="inlineStr">
        <is>
          <t>VENDAS</t>
        </is>
      </c>
      <c r="D46" s="36">
        <f>D44*D45</f>
        <v/>
      </c>
      <c r="E46" s="36">
        <f>E44*E45</f>
        <v/>
      </c>
      <c r="F46" s="36">
        <f>F44*F45</f>
        <v/>
      </c>
    </row>
    <row r="47" hidden="1" ht="22.5" customHeight="1" s="52">
      <c r="C47" s="32" t="inlineStr">
        <is>
          <t>FATURAMENTO</t>
        </is>
      </c>
      <c r="D47" s="37">
        <f>D43*D46</f>
        <v/>
      </c>
      <c r="E47" s="37">
        <f>E43*E46</f>
        <v/>
      </c>
      <c r="F47" s="37">
        <f>F43*F46</f>
        <v/>
      </c>
    </row>
    <row r="48" hidden="1" s="52"/>
    <row r="49" hidden="1" ht="19.5" customHeight="1" s="52">
      <c r="C49" s="38" t="inlineStr">
        <is>
          <t>TICKET MÉDIO BLEND (B2B + COMERCIAL)</t>
        </is>
      </c>
      <c r="D49" s="39">
        <f>SUM(D47:F47)/SUM(D46:F46)</f>
        <v/>
      </c>
    </row>
  </sheetData>
  <mergeCells count="5">
    <mergeCell ref="B6:C6"/>
    <mergeCell ref="B22:C22"/>
    <mergeCell ref="B14:C14"/>
    <mergeCell ref="B31:C31"/>
    <mergeCell ref="B2:D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BA57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6" customWidth="1" style="52" min="1" max="1"/>
    <col width="25.75" customWidth="1" style="52" min="2" max="2"/>
    <col width="14.88" customWidth="1" style="52" min="3" max="3"/>
    <col width="3.63" customWidth="1" style="52" min="4" max="4"/>
    <col width="22.13" customWidth="1" style="52" min="19" max="19"/>
  </cols>
  <sheetData>
    <row r="1">
      <c r="B1" s="1" t="inlineStr">
        <is>
          <t>META</t>
        </is>
      </c>
      <c r="E1" s="2" t="n">
        <v>46235</v>
      </c>
      <c r="F1" s="2" t="n">
        <v>46266</v>
      </c>
      <c r="G1" s="2" t="n">
        <v>46296</v>
      </c>
      <c r="H1" s="2" t="n">
        <v>46327</v>
      </c>
      <c r="I1" s="2" t="n">
        <v>46357</v>
      </c>
      <c r="J1" s="2" t="n">
        <v>46388</v>
      </c>
      <c r="K1" s="2" t="n">
        <v>46419</v>
      </c>
      <c r="L1" s="2" t="n">
        <v>46447</v>
      </c>
      <c r="M1" s="2" t="n">
        <v>46478</v>
      </c>
      <c r="N1" s="2" t="n">
        <v>46508</v>
      </c>
      <c r="O1" s="2" t="n">
        <v>46539</v>
      </c>
      <c r="P1" s="2" t="n">
        <v>46569</v>
      </c>
    </row>
    <row r="2">
      <c r="B2" s="3" t="inlineStr">
        <is>
          <t>Dias do mês</t>
        </is>
      </c>
      <c r="E2" s="4" t="n">
        <v>31</v>
      </c>
      <c r="F2" s="4" t="n">
        <v>30</v>
      </c>
      <c r="G2" s="4" t="n">
        <v>31</v>
      </c>
      <c r="H2" s="4" t="n">
        <v>30</v>
      </c>
      <c r="I2" s="4" t="n">
        <v>31</v>
      </c>
      <c r="J2" s="4" t="n">
        <v>31</v>
      </c>
      <c r="K2" s="4" t="n">
        <v>28</v>
      </c>
      <c r="L2" s="4" t="n">
        <v>31</v>
      </c>
      <c r="M2" s="4" t="n">
        <v>30</v>
      </c>
      <c r="N2" s="4" t="n">
        <v>31</v>
      </c>
      <c r="O2" s="4" t="n">
        <v>30</v>
      </c>
      <c r="P2" s="4" t="n">
        <v>31</v>
      </c>
    </row>
    <row r="3">
      <c r="B3" s="3" t="inlineStr">
        <is>
          <t xml:space="preserve">Dias úteis </t>
        </is>
      </c>
      <c r="E3" s="4" t="n">
        <v>21</v>
      </c>
      <c r="F3" s="4" t="n">
        <v>22</v>
      </c>
      <c r="G3" s="4" t="n">
        <v>22</v>
      </c>
      <c r="H3" s="4" t="n">
        <v>21</v>
      </c>
      <c r="I3" s="4" t="n">
        <v>23</v>
      </c>
      <c r="J3" s="4" t="n">
        <v>21</v>
      </c>
      <c r="K3" s="4" t="n">
        <v>20</v>
      </c>
      <c r="L3" s="4" t="n">
        <v>23</v>
      </c>
      <c r="M3" s="4" t="n">
        <v>22</v>
      </c>
      <c r="N3" s="4" t="n">
        <v>21</v>
      </c>
      <c r="O3" s="4" t="n">
        <v>22</v>
      </c>
      <c r="P3" s="4" t="n">
        <v>22</v>
      </c>
    </row>
    <row r="4">
      <c r="B4" s="5" t="n"/>
      <c r="C4" s="5" t="n"/>
      <c r="E4" s="3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B5" s="6" t="inlineStr">
        <is>
          <t>PREMISSAS DE MARKETING</t>
        </is>
      </c>
      <c r="E5" s="3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7">
      <c r="B7" s="7" t="inlineStr">
        <is>
          <t>Controle investimento</t>
        </is>
      </c>
      <c r="C7" s="8">
        <f>IFERROR(FORMULATEXT(G7),"")</f>
        <v/>
      </c>
      <c r="E7" s="9" t="n">
        <v>0</v>
      </c>
      <c r="F7" s="9">
        <f>IFERROR(F8/E8-1,0)</f>
        <v/>
      </c>
      <c r="G7" s="9">
        <f>IFERROR(G8/F8-1,0)</f>
        <v/>
      </c>
      <c r="H7" s="9">
        <f>IFERROR(H8/G8-1,0)</f>
        <v/>
      </c>
      <c r="I7" s="9">
        <f>IFERROR(I8/H8-1,0)</f>
        <v/>
      </c>
      <c r="J7" s="9">
        <f>IFERROR(J8/I8-1,0)</f>
        <v/>
      </c>
      <c r="K7" s="9">
        <f>IFERROR(K8/J8-1,0)</f>
        <v/>
      </c>
      <c r="L7" s="9">
        <f>IFERROR(L8/K8-1,0)</f>
        <v/>
      </c>
      <c r="M7" s="9">
        <f>IFERROR(M8/L8-1,0)</f>
        <v/>
      </c>
      <c r="N7" s="9">
        <f>IFERROR(N8/M8-1,0)</f>
        <v/>
      </c>
      <c r="O7" s="9">
        <f>IFERROR(O8/N8-1,0)</f>
        <v/>
      </c>
      <c r="P7" s="9">
        <f>IFERROR(P8/O8-1,0)</f>
        <v/>
      </c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</row>
    <row r="8">
      <c r="B8" s="7" t="inlineStr">
        <is>
          <t>Investimento</t>
        </is>
      </c>
      <c r="C8" s="8">
        <f>IFERROR(FORMULATEXT(G8),"")</f>
        <v/>
      </c>
      <c r="E8" s="10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</row>
    <row r="9">
      <c r="B9" s="7" t="inlineStr">
        <is>
          <t>Variação do CPL</t>
        </is>
      </c>
      <c r="C9" s="8">
        <f>IFERROR(FORMULATEXT(G9),"")</f>
        <v/>
      </c>
      <c r="E9" s="13" t="n">
        <v>0</v>
      </c>
      <c r="F9" s="15">
        <f>IFERROR(F10/E10-1,0)</f>
        <v/>
      </c>
      <c r="G9" s="15">
        <f>IFERROR(G10/F10-1,0)</f>
        <v/>
      </c>
      <c r="H9" s="15">
        <f>IFERROR(H10/G10-1,0)</f>
        <v/>
      </c>
      <c r="I9" s="15">
        <f>IFERROR(I10/H10-1,0)</f>
        <v/>
      </c>
      <c r="J9" s="15">
        <f>IFERROR(J10/I10-1,0)</f>
        <v/>
      </c>
      <c r="K9" s="15">
        <f>IFERROR(K10/J10-1,0)</f>
        <v/>
      </c>
      <c r="L9" s="15">
        <f>IFERROR(L10/K10-1,0)</f>
        <v/>
      </c>
      <c r="M9" s="15">
        <f>IFERROR(M10/L10-1,0)</f>
        <v/>
      </c>
      <c r="N9" s="15">
        <f>IFERROR(N10/M10-1,0)</f>
        <v/>
      </c>
      <c r="O9" s="15">
        <f>IFERROR(O10/N10-1,0)</f>
        <v/>
      </c>
      <c r="P9" s="15">
        <f>IFERROR(P10/O10-1,0)</f>
        <v/>
      </c>
      <c r="Q9" s="15" t="n"/>
    </row>
    <row r="10">
      <c r="B10" s="7" t="inlineStr">
        <is>
          <t>Custo por Lead</t>
        </is>
      </c>
      <c r="C10" s="16" t="n">
        <v>180</v>
      </c>
      <c r="E10" s="17" t="n">
        <v>180</v>
      </c>
      <c r="F10" s="17" t="n">
        <v>180</v>
      </c>
      <c r="G10" s="17" t="n">
        <v>180</v>
      </c>
      <c r="H10" s="17" t="n">
        <v>180</v>
      </c>
      <c r="I10" s="17" t="n">
        <v>180</v>
      </c>
      <c r="J10" s="17" t="n">
        <v>180</v>
      </c>
      <c r="K10" s="17" t="n">
        <v>180</v>
      </c>
      <c r="L10" s="17" t="n">
        <v>180</v>
      </c>
      <c r="M10" s="17" t="n">
        <v>180</v>
      </c>
      <c r="N10" s="17" t="n">
        <v>180</v>
      </c>
      <c r="O10" s="17" t="n">
        <v>180</v>
      </c>
      <c r="P10" s="17" t="n">
        <v>180</v>
      </c>
    </row>
    <row r="11">
      <c r="B11" s="7" t="inlineStr">
        <is>
          <t>Leads Gerados</t>
        </is>
      </c>
      <c r="C11" s="8">
        <f>IFERROR(FORMULATEXT(G11),"")</f>
        <v/>
      </c>
      <c r="E11" s="19">
        <f>IFERROR(ROUND(E8/E10,0),0)</f>
        <v/>
      </c>
      <c r="F11" s="19">
        <f>IFERROR(ROUND(F8/F10,0),0)</f>
        <v/>
      </c>
      <c r="G11" s="19">
        <f>IFERROR(ROUND(G8/G10,0),0)</f>
        <v/>
      </c>
      <c r="H11" s="19">
        <f>IFERROR(ROUND(H8/H10,0),0)</f>
        <v/>
      </c>
      <c r="I11" s="19">
        <f>IFERROR(ROUND(I8/I10,0),0)</f>
        <v/>
      </c>
      <c r="J11" s="19">
        <f>IFERROR(ROUND(J8/J10,0),0)</f>
        <v/>
      </c>
      <c r="K11" s="19">
        <f>IFERROR(ROUND(K8/K10,0),0)</f>
        <v/>
      </c>
      <c r="L11" s="19">
        <f>IFERROR(ROUND(L8/L10,0),0)</f>
        <v/>
      </c>
      <c r="M11" s="19">
        <f>IFERROR(ROUND(M8/M10,0),0)</f>
        <v/>
      </c>
      <c r="N11" s="19">
        <f>IFERROR(ROUND(N8/N10,0),0)</f>
        <v/>
      </c>
      <c r="O11" s="19">
        <f>IFERROR(ROUND(O8/O10,0),0)</f>
        <v/>
      </c>
      <c r="P11" s="19">
        <f>IFERROR(ROUND(P8/P10,0),0)</f>
        <v/>
      </c>
      <c r="R11" s="21" t="n"/>
      <c r="S11" s="21" t="n"/>
      <c r="T11" s="21" t="n"/>
    </row>
    <row r="12">
      <c r="P12" s="21" t="n"/>
      <c r="Q12" s="40" t="n"/>
      <c r="S12" s="40" t="n"/>
      <c r="T12" s="40" t="n"/>
    </row>
    <row r="13">
      <c r="B13" s="6" t="inlineStr">
        <is>
          <t>PREMISSAS DE PRÉ-VENDA</t>
        </is>
      </c>
      <c r="P13" s="21" t="n"/>
      <c r="Q13" s="21" t="n"/>
      <c r="S13" s="21" t="n"/>
      <c r="T13" s="21" t="n"/>
    </row>
    <row r="14">
      <c r="P14" s="21" t="n"/>
      <c r="R14" s="21" t="n"/>
      <c r="T14" s="21" t="n"/>
    </row>
    <row r="15">
      <c r="B15" s="7" t="inlineStr">
        <is>
          <t>Leads (WhatsApp / Site / Instagram)</t>
        </is>
      </c>
      <c r="C15" s="8">
        <f>IFERROR(FORMULATEXT(G15),"")</f>
        <v/>
      </c>
      <c r="E15" s="19">
        <f>E11</f>
        <v/>
      </c>
      <c r="F15" s="19">
        <f>F11</f>
        <v/>
      </c>
      <c r="G15" s="19">
        <f>G11</f>
        <v/>
      </c>
      <c r="H15" s="19">
        <f>H11</f>
        <v/>
      </c>
      <c r="I15" s="19">
        <f>I11</f>
        <v/>
      </c>
      <c r="J15" s="19">
        <f>J11</f>
        <v/>
      </c>
      <c r="K15" s="19">
        <f>K11</f>
        <v/>
      </c>
      <c r="L15" s="19">
        <f>L11</f>
        <v/>
      </c>
      <c r="M15" s="19">
        <f>M11</f>
        <v/>
      </c>
      <c r="N15" s="19">
        <f>N11</f>
        <v/>
      </c>
      <c r="O15" s="19">
        <f>O11</f>
        <v/>
      </c>
      <c r="P15" s="19">
        <f>P11</f>
        <v/>
      </c>
      <c r="R15" s="21" t="n"/>
      <c r="T15" s="21" t="n"/>
    </row>
    <row r="16">
      <c r="B16" s="7" t="inlineStr">
        <is>
          <t>Leads &gt; MQL</t>
        </is>
      </c>
      <c r="C16" s="8">
        <f>IFERROR(FORMULATEXT(G16),"")</f>
        <v/>
      </c>
      <c r="E16" s="22" t="n">
        <v>0.75</v>
      </c>
      <c r="F16" s="22" t="n">
        <v>0.75</v>
      </c>
      <c r="G16" s="22" t="n">
        <v>0.75</v>
      </c>
      <c r="H16" s="22" t="n">
        <v>0.75</v>
      </c>
      <c r="I16" s="22" t="n">
        <v>0.75</v>
      </c>
      <c r="J16" s="22" t="n">
        <v>0.75</v>
      </c>
      <c r="K16" s="22" t="n">
        <v>0.75</v>
      </c>
      <c r="L16" s="22" t="n">
        <v>0.75</v>
      </c>
      <c r="M16" s="22" t="n">
        <v>0.75</v>
      </c>
      <c r="N16" s="22" t="n">
        <v>0.75</v>
      </c>
      <c r="O16" s="22" t="n">
        <v>0.75</v>
      </c>
      <c r="P16" s="22" t="n">
        <v>0.75</v>
      </c>
      <c r="Q16" s="21" t="n"/>
      <c r="R16" s="21" t="n"/>
      <c r="T16" s="21" t="n"/>
    </row>
    <row r="17">
      <c r="B17" s="7" t="inlineStr">
        <is>
          <t>MQL (Qualificados)</t>
        </is>
      </c>
      <c r="C17" s="8">
        <f>IFERROR(FORMULATEXT(G17),"")</f>
        <v/>
      </c>
      <c r="E17" s="49">
        <f>ROUND((E15*E16),0)</f>
        <v/>
      </c>
      <c r="F17" s="49">
        <f>ROUND((F15*F16),0)</f>
        <v/>
      </c>
      <c r="G17" s="49">
        <f>ROUND((G15*G16),0)</f>
        <v/>
      </c>
      <c r="H17" s="49">
        <f>ROUND((H15*H16),0)</f>
        <v/>
      </c>
      <c r="I17" s="49">
        <f>ROUND((I15*I16),0)</f>
        <v/>
      </c>
      <c r="J17" s="49">
        <f>ROUND((J15*J16),0)</f>
        <v/>
      </c>
      <c r="K17" s="49">
        <f>ROUND((K15*K16),0)</f>
        <v/>
      </c>
      <c r="L17" s="49">
        <f>ROUND((L15*L16),0)</f>
        <v/>
      </c>
      <c r="M17" s="49">
        <f>ROUND((M15*M16),0)</f>
        <v/>
      </c>
      <c r="N17" s="49">
        <f>ROUND((N15*N16),0)</f>
        <v/>
      </c>
      <c r="O17" s="49">
        <f>ROUND((O15*O16),0)</f>
        <v/>
      </c>
      <c r="P17" s="49">
        <f>ROUND((P15*P16),0)</f>
        <v/>
      </c>
      <c r="Q17" s="21" t="n"/>
      <c r="R17" s="21" t="n"/>
      <c r="T17" s="21" t="n"/>
    </row>
    <row r="18">
      <c r="B18" s="7" t="inlineStr">
        <is>
          <t>MQL &gt; SQL</t>
        </is>
      </c>
      <c r="C18" s="8">
        <f>IFERROR(FORMULATEXT(G18),"")</f>
        <v/>
      </c>
      <c r="E18" s="22" t="n">
        <v>0.35</v>
      </c>
      <c r="F18" s="22" t="n">
        <v>0.35</v>
      </c>
      <c r="G18" s="22" t="n">
        <v>0.35</v>
      </c>
      <c r="H18" s="22" t="n">
        <v>0.35</v>
      </c>
      <c r="I18" s="22" t="n">
        <v>0.35</v>
      </c>
      <c r="J18" s="22" t="n">
        <v>0.35</v>
      </c>
      <c r="K18" s="22" t="n">
        <v>0.35</v>
      </c>
      <c r="L18" s="22" t="n">
        <v>0.35</v>
      </c>
      <c r="M18" s="22" t="n">
        <v>0.35</v>
      </c>
      <c r="N18" s="22" t="n">
        <v>0.35</v>
      </c>
      <c r="O18" s="22" t="n">
        <v>0.35</v>
      </c>
      <c r="P18" s="22" t="n">
        <v>0.35</v>
      </c>
      <c r="Q18" s="21" t="n"/>
      <c r="R18" s="21" t="n"/>
      <c r="T18" s="21" t="n"/>
    </row>
    <row r="19">
      <c r="B19" s="7" t="inlineStr">
        <is>
          <t>SQL (Orçamento)</t>
        </is>
      </c>
      <c r="C19" s="8">
        <f>IFERROR(FORMULATEXT(G19),"")</f>
        <v/>
      </c>
      <c r="E19" s="49">
        <f>ROUND(E17*E18,0)</f>
        <v/>
      </c>
      <c r="F19" s="49">
        <f>ROUND(F17*F18,0)</f>
        <v/>
      </c>
      <c r="G19" s="49">
        <f>ROUND(G17*G18,0)</f>
        <v/>
      </c>
      <c r="H19" s="49">
        <f>ROUND(H17*H18,0)</f>
        <v/>
      </c>
      <c r="I19" s="49">
        <f>ROUND(I17*I18,0)</f>
        <v/>
      </c>
      <c r="J19" s="49">
        <f>ROUND(J17*J18,0)</f>
        <v/>
      </c>
      <c r="K19" s="49">
        <f>ROUND(K17*K18,0)</f>
        <v/>
      </c>
      <c r="L19" s="49">
        <f>ROUND(L17*L18,0)</f>
        <v/>
      </c>
      <c r="M19" s="49">
        <f>ROUND(M17*M18,0)</f>
        <v/>
      </c>
      <c r="N19" s="49">
        <f>ROUND(N17*N18,0)</f>
        <v/>
      </c>
      <c r="O19" s="49">
        <f>ROUND(O17*O18,0)</f>
        <v/>
      </c>
      <c r="P19" s="49">
        <f>ROUND(P17*P18,0)</f>
        <v/>
      </c>
      <c r="Q19" s="21" t="n"/>
      <c r="R19" s="21" t="n"/>
      <c r="T19" s="21" t="n"/>
    </row>
    <row r="20">
      <c r="E20" s="24">
        <f>IFERROR(E19/E15,0)</f>
        <v/>
      </c>
      <c r="P20" s="21" t="n"/>
      <c r="Q20" s="21" t="n"/>
      <c r="R20" s="21" t="n"/>
      <c r="T20" s="21" t="n"/>
    </row>
    <row r="21">
      <c r="B21" s="6" t="inlineStr">
        <is>
          <t>PREMISSAS DE VENDAS</t>
        </is>
      </c>
      <c r="P21" s="21" t="n"/>
      <c r="Q21" s="21" t="n"/>
      <c r="R21" s="21" t="n"/>
      <c r="T21" s="21" t="n"/>
    </row>
    <row r="23">
      <c r="B23" s="7" t="inlineStr">
        <is>
          <t>SQL</t>
        </is>
      </c>
      <c r="C23" s="8">
        <f>IFERROR(FORMULATEXT(G23),"")</f>
        <v/>
      </c>
      <c r="E23" s="49">
        <f>E19</f>
        <v/>
      </c>
      <c r="F23" s="49">
        <f>F19</f>
        <v/>
      </c>
      <c r="G23" s="49">
        <f>G19</f>
        <v/>
      </c>
      <c r="H23" s="49">
        <f>H19</f>
        <v/>
      </c>
      <c r="I23" s="49">
        <f>I19</f>
        <v/>
      </c>
      <c r="J23" s="49">
        <f>J19</f>
        <v/>
      </c>
      <c r="K23" s="49">
        <f>K19</f>
        <v/>
      </c>
      <c r="L23" s="49">
        <f>L19</f>
        <v/>
      </c>
      <c r="M23" s="49">
        <f>M19</f>
        <v/>
      </c>
      <c r="N23" s="49">
        <f>N19</f>
        <v/>
      </c>
      <c r="O23" s="49">
        <f>O19</f>
        <v/>
      </c>
      <c r="P23" s="49">
        <f>P19</f>
        <v/>
      </c>
    </row>
    <row r="24">
      <c r="B24" s="7" t="inlineStr">
        <is>
          <t>SQL &gt; Venda</t>
        </is>
      </c>
      <c r="C24" s="8">
        <f>IFERROR(FORMULATEXT(G24),"")</f>
        <v/>
      </c>
      <c r="E24" s="22" t="n">
        <v>0.25</v>
      </c>
      <c r="F24" s="22" t="n">
        <v>0.25</v>
      </c>
      <c r="G24" s="22" t="n">
        <v>0.25</v>
      </c>
      <c r="H24" s="22" t="n">
        <v>0.25</v>
      </c>
      <c r="I24" s="22" t="n">
        <v>0.25</v>
      </c>
      <c r="J24" s="22" t="n">
        <v>0.25</v>
      </c>
      <c r="K24" s="22" t="n">
        <v>0.25</v>
      </c>
      <c r="L24" s="22" t="n">
        <v>0.25</v>
      </c>
      <c r="M24" s="22" t="n">
        <v>0.25</v>
      </c>
      <c r="N24" s="22" t="n">
        <v>0.25</v>
      </c>
      <c r="O24" s="22" t="n">
        <v>0.25</v>
      </c>
      <c r="P24" s="22" t="n">
        <v>0.25</v>
      </c>
    </row>
    <row r="25">
      <c r="B25" s="7" t="inlineStr">
        <is>
          <t>Venda</t>
        </is>
      </c>
      <c r="C25" s="8">
        <f>IFERROR(FORMULATEXT(G25),"")</f>
        <v/>
      </c>
      <c r="E25" s="49">
        <f>ROUND(E23*E24,0)</f>
        <v/>
      </c>
      <c r="F25" s="49">
        <f>ROUND(F23*F24,0)</f>
        <v/>
      </c>
      <c r="G25" s="49">
        <f>ROUND(G23*G24,0)</f>
        <v/>
      </c>
      <c r="H25" s="49">
        <f>ROUND(H23*H24,0)</f>
        <v/>
      </c>
      <c r="I25" s="49">
        <f>ROUND(I23*I24,0)</f>
        <v/>
      </c>
      <c r="J25" s="49">
        <f>ROUND(J23*J24,0)</f>
        <v/>
      </c>
      <c r="K25" s="49">
        <f>ROUND(K23*K24,0)</f>
        <v/>
      </c>
      <c r="L25" s="49">
        <f>ROUND(L23*L24,0)</f>
        <v/>
      </c>
      <c r="M25" s="49">
        <f>ROUND(M23*M24,0)</f>
        <v/>
      </c>
      <c r="N25" s="49">
        <f>ROUND(N23*N24,0)</f>
        <v/>
      </c>
      <c r="O25" s="49">
        <f>ROUND(O23*O24,0)</f>
        <v/>
      </c>
      <c r="P25" s="49">
        <f>ROUND(P23*P24,0)</f>
        <v/>
      </c>
    </row>
    <row r="26">
      <c r="B26" s="7" t="inlineStr">
        <is>
          <t>Ticket Médio</t>
        </is>
      </c>
      <c r="C26" s="8">
        <f>IFERROR(FORMULATEXT(G26),"")</f>
        <v/>
      </c>
      <c r="E26" s="16" t="n">
        <v>320</v>
      </c>
      <c r="F26" s="12">
        <f>E26</f>
        <v/>
      </c>
      <c r="G26" s="12">
        <f>F26</f>
        <v/>
      </c>
      <c r="H26" s="12">
        <f>G26</f>
        <v/>
      </c>
      <c r="I26" s="12">
        <f>H26</f>
        <v/>
      </c>
      <c r="J26" s="12">
        <f>I26</f>
        <v/>
      </c>
      <c r="K26" s="12">
        <f>J26</f>
        <v/>
      </c>
      <c r="L26" s="12">
        <f>K26</f>
        <v/>
      </c>
      <c r="M26" s="12">
        <f>L26</f>
        <v/>
      </c>
      <c r="N26" s="12">
        <f>M26</f>
        <v/>
      </c>
      <c r="O26" s="12">
        <f>N26</f>
        <v/>
      </c>
      <c r="P26" s="12">
        <f>O26</f>
        <v/>
      </c>
    </row>
    <row r="27">
      <c r="B27" s="7" t="inlineStr">
        <is>
          <t>Faturamento</t>
        </is>
      </c>
      <c r="C27" s="8">
        <f>IFERROR(FORMULATEXT(G27),"")</f>
        <v/>
      </c>
      <c r="E27" s="12">
        <f>E25*E26</f>
        <v/>
      </c>
      <c r="F27" s="12">
        <f>F25*F26</f>
        <v/>
      </c>
      <c r="G27" s="12">
        <f>G25*G26</f>
        <v/>
      </c>
      <c r="H27" s="12">
        <f>H25*H26</f>
        <v/>
      </c>
      <c r="I27" s="12">
        <f>I25*I26</f>
        <v/>
      </c>
      <c r="J27" s="12">
        <f>J25*J26</f>
        <v/>
      </c>
      <c r="K27" s="12">
        <f>K25*K26</f>
        <v/>
      </c>
      <c r="L27" s="12">
        <f>L25*L26</f>
        <v/>
      </c>
      <c r="M27" s="12">
        <f>M25*M26</f>
        <v/>
      </c>
      <c r="N27" s="12">
        <f>N25*N26</f>
        <v/>
      </c>
      <c r="O27" s="12">
        <f>O25*O26</f>
        <v/>
      </c>
      <c r="P27" s="12">
        <f>P25*P26</f>
        <v/>
      </c>
    </row>
    <row r="28">
      <c r="B28" s="7" t="inlineStr">
        <is>
          <t>LTV (meses)</t>
        </is>
      </c>
      <c r="C28" s="25" t="n">
        <v>12</v>
      </c>
      <c r="D28" s="0" t="inlineStr">
        <is>
          <t>12 meses (conservador, mesmo horizonte do segmento Comercial Geral em Google) — não aplicável na prática, já que o investimento recomendado é R$0.</t>
        </is>
      </c>
      <c r="E28" s="26">
        <f>E27*$C$28</f>
        <v/>
      </c>
      <c r="F28" s="26">
        <f>F27*$C$28</f>
        <v/>
      </c>
      <c r="G28" s="26">
        <f>G27*$C$28</f>
        <v/>
      </c>
      <c r="H28" s="26">
        <f>H27*$C$28</f>
        <v/>
      </c>
      <c r="I28" s="26">
        <f>I27*$C$28</f>
        <v/>
      </c>
      <c r="J28" s="26">
        <f>J27*$C$28</f>
        <v/>
      </c>
      <c r="K28" s="26">
        <f>K27*$C$28</f>
        <v/>
      </c>
      <c r="L28" s="26">
        <f>L27*$C$28</f>
        <v/>
      </c>
      <c r="M28" s="26">
        <f>M27*$C$28</f>
        <v/>
      </c>
      <c r="N28" s="26">
        <f>N27*$C$28</f>
        <v/>
      </c>
      <c r="O28" s="26">
        <f>O27*$C$28</f>
        <v/>
      </c>
      <c r="P28" s="26">
        <f>P27*$C$28</f>
        <v/>
      </c>
    </row>
    <row r="29">
      <c r="F29" s="27" t="n"/>
    </row>
    <row r="30">
      <c r="B30" s="6" t="inlineStr">
        <is>
          <t>KPI</t>
        </is>
      </c>
      <c r="D30" s="28" t="n"/>
    </row>
    <row r="31" ht="15.75" customHeight="1" s="52"/>
    <row r="32">
      <c r="B32" s="7" t="inlineStr">
        <is>
          <t>ROAS</t>
        </is>
      </c>
      <c r="E32" s="29">
        <f>IFERROR(E27/E8,0)</f>
        <v/>
      </c>
      <c r="F32" s="29">
        <f>IFERROR(F27/F8,0)</f>
        <v/>
      </c>
      <c r="G32" s="29">
        <f>IFERROR(G27/G8,0)</f>
        <v/>
      </c>
      <c r="H32" s="29">
        <f>IFERROR(H27/H8,0)</f>
        <v/>
      </c>
      <c r="I32" s="29">
        <f>IFERROR(I27/I8,0)</f>
        <v/>
      </c>
      <c r="J32" s="29">
        <f>IFERROR(J27/J8,0)</f>
        <v/>
      </c>
      <c r="K32" s="29">
        <f>IFERROR(K27/K8,0)</f>
        <v/>
      </c>
      <c r="L32" s="29">
        <f>IFERROR(L27/L8,0)</f>
        <v/>
      </c>
      <c r="M32" s="29">
        <f>IFERROR(M27/M8,0)</f>
        <v/>
      </c>
      <c r="N32" s="29">
        <f>IFERROR(N27/N8,0)</f>
        <v/>
      </c>
      <c r="O32" s="29">
        <f>IFERROR(O27/O8,0)</f>
        <v/>
      </c>
      <c r="P32" s="29">
        <f>IFERROR(P27/P8,0)</f>
        <v/>
      </c>
    </row>
    <row r="33">
      <c r="B33" s="7" t="inlineStr">
        <is>
          <t>CPL (CAC)</t>
        </is>
      </c>
      <c r="C33" s="25" t="n">
        <v>0</v>
      </c>
      <c r="E33" s="12">
        <f>IFERROR(($C$33+E8)/E11,0)</f>
        <v/>
      </c>
      <c r="F33" s="12">
        <f>IFERROR(($C$33+F8)/F11,0)</f>
        <v/>
      </c>
      <c r="G33" s="12">
        <f>IFERROR(($C$33+G8)/G11,0)</f>
        <v/>
      </c>
      <c r="H33" s="12">
        <f>IFERROR(($C$33+H8)/H11,0)</f>
        <v/>
      </c>
      <c r="I33" s="12">
        <f>IFERROR(($C$33+I8)/I11,0)</f>
        <v/>
      </c>
      <c r="J33" s="12">
        <f>IFERROR(($C$33+J8)/J11,0)</f>
        <v/>
      </c>
      <c r="K33" s="12">
        <f>IFERROR(($C$33+K8)/K11,0)</f>
        <v/>
      </c>
      <c r="L33" s="12">
        <f>IFERROR(($C$33+L8)/L11,0)</f>
        <v/>
      </c>
      <c r="M33" s="12">
        <f>IFERROR(($C$33+M8)/M11,0)</f>
        <v/>
      </c>
      <c r="N33" s="12">
        <f>IFERROR(($C$33+N8)/N11,0)</f>
        <v/>
      </c>
      <c r="O33" s="12">
        <f>IFERROR(($C$33+O8)/O11,0)</f>
        <v/>
      </c>
      <c r="P33" s="12">
        <f>IFERROR(($C$33+P8)/P11,0)</f>
        <v/>
      </c>
    </row>
    <row r="34">
      <c r="B34" s="7" t="inlineStr">
        <is>
          <t>CPO</t>
        </is>
      </c>
      <c r="E34" s="12">
        <f>IFERROR(($C$33+E8)/E17,0)</f>
        <v/>
      </c>
      <c r="F34" s="12">
        <f>IFERROR(($C$33+F8)/F17,0)</f>
        <v/>
      </c>
      <c r="G34" s="12">
        <f>IFERROR(($C$33+G8)/G17,0)</f>
        <v/>
      </c>
      <c r="H34" s="12">
        <f>IFERROR(($C$33+H8)/H17,0)</f>
        <v/>
      </c>
      <c r="I34" s="12">
        <f>IFERROR(($C$33+I8)/I17,0)</f>
        <v/>
      </c>
      <c r="J34" s="12">
        <f>IFERROR(($C$33+J8)/J17,0)</f>
        <v/>
      </c>
      <c r="K34" s="12">
        <f>IFERROR(($C$33+K8)/K17,0)</f>
        <v/>
      </c>
      <c r="L34" s="12">
        <f>IFERROR(($C$33+L8)/L17,0)</f>
        <v/>
      </c>
      <c r="M34" s="12">
        <f>IFERROR(($C$33+M8)/M17,0)</f>
        <v/>
      </c>
      <c r="N34" s="12">
        <f>IFERROR(($C$33+N8)/N17,0)</f>
        <v/>
      </c>
      <c r="O34" s="12">
        <f>IFERROR(($C$33+O8)/O17,0)</f>
        <v/>
      </c>
      <c r="P34" s="12">
        <f>IFERROR(($C$33+P8)/P17,0)</f>
        <v/>
      </c>
    </row>
    <row r="35">
      <c r="B35" s="7" t="inlineStr">
        <is>
          <t>CPV</t>
        </is>
      </c>
      <c r="E35" s="12">
        <f>IFERROR(($C$33+E8)/E25,0)</f>
        <v/>
      </c>
      <c r="F35" s="12">
        <f>IFERROR(($C$33+F8)/F25,0)</f>
        <v/>
      </c>
      <c r="G35" s="12">
        <f>IFERROR(($C$33+G8)/G25,0)</f>
        <v/>
      </c>
      <c r="H35" s="12">
        <f>IFERROR(($C$33+H8)/H25,0)</f>
        <v/>
      </c>
      <c r="I35" s="12">
        <f>IFERROR(($C$33+I8)/I25,0)</f>
        <v/>
      </c>
      <c r="J35" s="12">
        <f>IFERROR(($C$33+J8)/J25,0)</f>
        <v/>
      </c>
      <c r="K35" s="12">
        <f>IFERROR(($C$33+K8)/K25,0)</f>
        <v/>
      </c>
      <c r="L35" s="12">
        <f>IFERROR(($C$33+L8)/L25,0)</f>
        <v/>
      </c>
      <c r="M35" s="12">
        <f>IFERROR(($C$33+M8)/M25,0)</f>
        <v/>
      </c>
      <c r="N35" s="12">
        <f>IFERROR(($C$33+N8)/N25,0)</f>
        <v/>
      </c>
      <c r="O35" s="12">
        <f>IFERROR(($C$33+O8)/O25,0)</f>
        <v/>
      </c>
      <c r="P35" s="12">
        <f>IFERROR(($C$33+P8)/P25,0)</f>
        <v/>
      </c>
    </row>
    <row r="36">
      <c r="B36" s="41" t="n"/>
      <c r="C36" s="41" t="n"/>
      <c r="D36" s="41" t="n"/>
      <c r="E36" s="41" t="n"/>
      <c r="F36" s="41" t="n"/>
      <c r="G36" s="41" t="n"/>
    </row>
    <row r="38" hidden="1" s="52">
      <c r="B38" s="42" t="inlineStr">
        <is>
          <t>PREMISSAS DE MARKETING</t>
        </is>
      </c>
      <c r="D38" s="53" t="inlineStr">
        <is>
          <t>OBSERVAÇÕES</t>
        </is>
      </c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5" t="n"/>
    </row>
    <row r="39" hidden="1" s="52">
      <c r="B39" s="46" t="inlineStr">
        <is>
          <t>Controle investimento</t>
        </is>
      </c>
      <c r="C39" s="56" t="n"/>
      <c r="D39" s="48" t="inlineStr">
        <is>
          <t>RECOMENDAÇÃO: não investir em Meta Ads para captação fria neste cenário. Rodando o mesmo funil melhorado (scoring + scripts SDR) com Meta, o ROAS-LTV projetado é de apenas 1,4x — abaixo do piso saudável de mercado (1:3) e muito inferior ao Google Ads (4,6x-12,1x). Consistente com o diagnóstico de marketing (S3): Meta funciona melhor como remarketing do que captação fria para este perfil B2B/nicho.</t>
        </is>
      </c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</row>
    <row r="40" hidden="1" ht="18" customHeight="1" s="52">
      <c r="B40" s="46" t="inlineStr">
        <is>
          <t>Investimento</t>
        </is>
      </c>
      <c r="C40" s="56" t="n"/>
      <c r="D40" s="48" t="inlineStr">
        <is>
          <t>Investimento zerado em todos os meses — é a recomendação. As linhas de CPL/funil abaixo ficam preenchidas como referência, caso o operador decida testar um orçamento pequeno de remarketing no futuro (não modelado aqui).</t>
        </is>
      </c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</row>
    <row r="41" hidden="1" s="52">
      <c r="B41" s="46" t="inlineStr">
        <is>
          <t>Variação do CPL</t>
        </is>
      </c>
      <c r="C41" s="56" t="n"/>
      <c r="D41" s="48" t="inlineStr">
        <is>
          <t>Não aplicável com investimento zerado — mantido por consistência de fórmula.</t>
        </is>
      </c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</row>
    <row r="42" hidden="1" s="52">
      <c r="B42" s="46" t="inlineStr">
        <is>
          <t>Custo por Lead</t>
        </is>
      </c>
      <c r="C42" s="56" t="n"/>
      <c r="D42" s="48" t="inlineStr">
        <is>
          <t>R$180/lead — benchmark internacional Meta Ads B2B (serviços profissionais/home services, US$30-50+, convertido a ~R$5,15/USD), MUITO mais caro que o CPL de Google Ads para este nicho.</t>
        </is>
      </c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</row>
    <row r="43" hidden="1" s="52">
      <c r="B43" s="46" t="inlineStr">
        <is>
          <t>Leads Gerados</t>
        </is>
      </c>
      <c r="C43" s="56" t="n"/>
      <c r="D43" s="48" t="inlineStr">
        <is>
          <t>Fórmula protegida com IFERROR — com investimento R$0, leads gerados = 0.</t>
        </is>
      </c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</row>
    <row r="44" hidden="1" s="52"/>
    <row r="45" hidden="1" s="52">
      <c r="B45" s="42" t="inlineStr">
        <is>
          <t>PREMISSAS DE PRÉ-VENDA</t>
        </is>
      </c>
      <c r="D45" s="53" t="inlineStr">
        <is>
          <t>OBSERVAÇÕES</t>
        </is>
      </c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  <c r="P45" s="55" t="n"/>
    </row>
    <row r="46" hidden="1" s="52">
      <c r="B46" s="46" t="inlineStr">
        <is>
          <t>Leads (No Kommo)</t>
        </is>
      </c>
      <c r="C46" s="56" t="n"/>
      <c r="D46" s="48" t="inlineStr">
        <is>
          <t>Não aplicável — sem investimento, sem leads.</t>
        </is>
      </c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</row>
    <row r="47" hidden="1" s="52">
      <c r="B47" s="46" t="inlineStr">
        <is>
          <t>Leads &gt; MQL</t>
        </is>
      </c>
      <c r="C47" s="56" t="n"/>
      <c r="D47" s="48" t="inlineStr">
        <is>
          <t>Mantido como referência de benchmark (75%, igual ao cenário melhorado de Google), caso o canal seja testado no futuro.</t>
        </is>
      </c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</row>
    <row r="48" hidden="1" s="52">
      <c r="B48" s="46" t="inlineStr">
        <is>
          <t>MQL (Cadastro no Moskit)</t>
        </is>
      </c>
      <c r="C48" s="56" t="n"/>
      <c r="D48" s="48" t="inlineStr">
        <is>
          <t>Quantidade de negócios cadastrados no Moskit, conforme a taxa de conversão das conversas que passam do Kommo (atendimento) para o CRM (Moskit).</t>
        </is>
      </c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</row>
    <row r="49" hidden="1" s="52">
      <c r="B49" s="46" t="inlineStr">
        <is>
          <t>MQL &gt; SQL</t>
        </is>
      </c>
      <c r="C49" s="56" t="n"/>
      <c r="D49" s="48" t="inlineStr">
        <is>
          <t>Mantido como referência de benchmark (35%), igual ao cenário melhorado de Google.</t>
        </is>
      </c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</row>
    <row r="50" hidden="1" s="52">
      <c r="B50" s="46" t="inlineStr">
        <is>
          <t>SQL (Orçamento)</t>
        </is>
      </c>
      <c r="C50" s="56" t="n"/>
      <c r="D50" s="48" t="inlineStr">
        <is>
          <t>Não aplicável — sem investimento, sem SQL.</t>
        </is>
      </c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</row>
    <row r="51" hidden="1" s="52"/>
    <row r="52" hidden="1" s="52">
      <c r="B52" s="42" t="inlineStr">
        <is>
          <t>PREMISSAS DE VENDAS</t>
        </is>
      </c>
      <c r="D52" s="53" t="inlineStr">
        <is>
          <t>OBSERVAÇÕES</t>
        </is>
      </c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5" t="n"/>
    </row>
    <row r="53" hidden="1" s="52">
      <c r="B53" s="46" t="inlineStr">
        <is>
          <t>SQL &gt; Venda</t>
        </is>
      </c>
      <c r="C53" s="56" t="n"/>
      <c r="D53" s="48" t="inlineStr">
        <is>
          <t>Mantido como referência (20%, mesma taxa real discutida com André).</t>
        </is>
      </c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</row>
    <row r="54" hidden="1" s="52">
      <c r="B54" s="46" t="inlineStr">
        <is>
          <t>Venda</t>
        </is>
      </c>
      <c r="C54" s="56" t="n"/>
      <c r="D54" s="48" t="inlineStr">
        <is>
          <t>Não aplicável — sem investimento, sem vendas.</t>
        </is>
      </c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</row>
    <row r="55" hidden="1" s="52">
      <c r="B55" s="46" t="inlineStr">
        <is>
          <t>Ticket Médio</t>
        </is>
      </c>
      <c r="C55" s="56" t="n"/>
      <c r="D55" s="48" t="inlineStr">
        <is>
          <t>R$320 (ticket Comercial Geral) — Meta, se usado, alcançaria majoritariamente o público mais amplo/local, não o B2B industrial.</t>
        </is>
      </c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</row>
    <row r="57"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</row>
  </sheetData>
  <mergeCells count="37">
    <mergeCell ref="B47:C47"/>
    <mergeCell ref="B54:C54"/>
    <mergeCell ref="B1:D1"/>
    <mergeCell ref="B46:C46"/>
    <mergeCell ref="D39:P39"/>
    <mergeCell ref="D55:P55"/>
    <mergeCell ref="B43:C43"/>
    <mergeCell ref="D42:P42"/>
    <mergeCell ref="D38:P38"/>
    <mergeCell ref="B39:C39"/>
    <mergeCell ref="B52:C52"/>
    <mergeCell ref="B21:C21"/>
    <mergeCell ref="B48:C48"/>
    <mergeCell ref="D54:P54"/>
    <mergeCell ref="B42:C42"/>
    <mergeCell ref="D50:P50"/>
    <mergeCell ref="B53:C53"/>
    <mergeCell ref="B13:C13"/>
    <mergeCell ref="B38:C38"/>
    <mergeCell ref="D46:P46"/>
    <mergeCell ref="D40:P40"/>
    <mergeCell ref="D45:P45"/>
    <mergeCell ref="D52:P52"/>
    <mergeCell ref="B40:C40"/>
    <mergeCell ref="B49:C49"/>
    <mergeCell ref="D49:P49"/>
    <mergeCell ref="B55:C55"/>
    <mergeCell ref="B30:C30"/>
    <mergeCell ref="D41:P41"/>
    <mergeCell ref="B5:C5"/>
    <mergeCell ref="B45:C45"/>
    <mergeCell ref="D48:P48"/>
    <mergeCell ref="B50:C50"/>
    <mergeCell ref="D53:P53"/>
    <mergeCell ref="B41:C41"/>
    <mergeCell ref="D47:P47"/>
    <mergeCell ref="D43:P4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1:BA55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4.75" customWidth="1" style="52" min="1" max="1"/>
    <col width="25.75" customWidth="1" style="52" min="2" max="2"/>
    <col width="15.38" customWidth="1" style="52" min="3" max="3"/>
    <col width="3.63" customWidth="1" style="52" min="4" max="4"/>
    <col width="3.13" customWidth="1" style="52" min="17" max="17"/>
    <col width="22.13" customWidth="1" style="52" min="19" max="19"/>
  </cols>
  <sheetData>
    <row r="1">
      <c r="B1" s="1" t="inlineStr">
        <is>
          <t>GOOGLE</t>
        </is>
      </c>
      <c r="E1" s="2" t="n">
        <v>46235</v>
      </c>
      <c r="F1" s="2" t="n">
        <v>46266</v>
      </c>
      <c r="G1" s="2" t="n">
        <v>46296</v>
      </c>
      <c r="H1" s="2" t="n">
        <v>46327</v>
      </c>
      <c r="I1" s="2" t="n">
        <v>46357</v>
      </c>
      <c r="J1" s="2" t="n">
        <v>46388</v>
      </c>
      <c r="K1" s="2" t="n">
        <v>46419</v>
      </c>
      <c r="L1" s="2" t="n">
        <v>46447</v>
      </c>
      <c r="M1" s="2" t="n">
        <v>46478</v>
      </c>
      <c r="N1" s="2" t="n">
        <v>46508</v>
      </c>
      <c r="O1" s="2" t="n">
        <v>46539</v>
      </c>
      <c r="P1" s="2" t="n">
        <v>46569</v>
      </c>
    </row>
    <row r="2">
      <c r="B2" s="3" t="inlineStr">
        <is>
          <t>Dias do mês</t>
        </is>
      </c>
      <c r="E2" s="4" t="n">
        <v>31</v>
      </c>
      <c r="F2" s="4" t="n">
        <v>30</v>
      </c>
      <c r="G2" s="4" t="n">
        <v>31</v>
      </c>
      <c r="H2" s="4" t="n">
        <v>30</v>
      </c>
      <c r="I2" s="4" t="n">
        <v>31</v>
      </c>
      <c r="J2" s="4" t="n">
        <v>31</v>
      </c>
      <c r="K2" s="4" t="n">
        <v>28</v>
      </c>
      <c r="L2" s="4" t="n">
        <v>31</v>
      </c>
      <c r="M2" s="4" t="n">
        <v>30</v>
      </c>
      <c r="N2" s="4" t="n">
        <v>31</v>
      </c>
      <c r="O2" s="4" t="n">
        <v>30</v>
      </c>
      <c r="P2" s="4" t="n">
        <v>31</v>
      </c>
    </row>
    <row r="3">
      <c r="B3" s="3" t="inlineStr">
        <is>
          <t xml:space="preserve">Dias úteis </t>
        </is>
      </c>
      <c r="E3" s="4" t="n">
        <v>21</v>
      </c>
      <c r="F3" s="4" t="n">
        <v>22</v>
      </c>
      <c r="G3" s="4" t="n">
        <v>22</v>
      </c>
      <c r="H3" s="4" t="n">
        <v>21</v>
      </c>
      <c r="I3" s="4" t="n">
        <v>23</v>
      </c>
      <c r="J3" s="4" t="n">
        <v>21</v>
      </c>
      <c r="K3" s="4" t="n">
        <v>20</v>
      </c>
      <c r="L3" s="4" t="n">
        <v>23</v>
      </c>
      <c r="M3" s="4" t="n">
        <v>22</v>
      </c>
      <c r="N3" s="4" t="n">
        <v>21</v>
      </c>
      <c r="O3" s="4" t="n">
        <v>22</v>
      </c>
      <c r="P3" s="4" t="n">
        <v>22</v>
      </c>
    </row>
    <row r="4">
      <c r="B4" s="5" t="n"/>
      <c r="C4" s="5" t="n"/>
      <c r="E4" s="3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B5" s="6" t="inlineStr">
        <is>
          <t>PREMISSAS DE MARKETING</t>
        </is>
      </c>
      <c r="E5" s="3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7">
      <c r="B7" s="7" t="inlineStr">
        <is>
          <t>Controle investimento</t>
        </is>
      </c>
      <c r="C7" s="8">
        <f>IFERROR(FORMULATEXT(G7),"")</f>
        <v/>
      </c>
      <c r="E7" s="9" t="n">
        <v>0</v>
      </c>
      <c r="F7" s="9">
        <f>IFERROR(F8/E8-1,0)</f>
        <v/>
      </c>
      <c r="G7" s="9">
        <f>IFERROR(G8/F8-1,0)</f>
        <v/>
      </c>
      <c r="H7" s="9">
        <f>IFERROR(H8/G8-1,0)</f>
        <v/>
      </c>
      <c r="I7" s="9">
        <f>IFERROR(I8/H8-1,0)</f>
        <v/>
      </c>
      <c r="J7" s="9">
        <f>IFERROR(J8/I8-1,0)</f>
        <v/>
      </c>
      <c r="K7" s="9">
        <f>IFERROR(K8/J8-1,0)</f>
        <v/>
      </c>
      <c r="L7" s="9">
        <f>IFERROR(L8/K8-1,0)</f>
        <v/>
      </c>
      <c r="M7" s="9">
        <f>IFERROR(M8/L8-1,0)</f>
        <v/>
      </c>
      <c r="N7" s="9">
        <f>IFERROR(N8/M8-1,0)</f>
        <v/>
      </c>
      <c r="O7" s="9">
        <f>IFERROR(O8/N8-1,0)</f>
        <v/>
      </c>
      <c r="P7" s="9">
        <f>IFERROR(P8/O8-1,0)</f>
        <v/>
      </c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</row>
    <row r="8">
      <c r="B8" s="7" t="inlineStr">
        <is>
          <t>Investimento</t>
        </is>
      </c>
      <c r="C8" s="8">
        <f>IFERROR(FORMULATEXT(G8),"")</f>
        <v/>
      </c>
      <c r="E8" s="50" t="n">
        <v>2259</v>
      </c>
      <c r="F8" s="12" t="n">
        <v>2826</v>
      </c>
      <c r="G8" s="12" t="n">
        <v>3112</v>
      </c>
      <c r="H8" s="12" t="n">
        <v>3628</v>
      </c>
      <c r="I8" s="12" t="n">
        <v>5651</v>
      </c>
      <c r="J8" s="12" t="n">
        <v>4008</v>
      </c>
      <c r="K8" s="12" t="n">
        <v>3493</v>
      </c>
      <c r="L8" s="12" t="n">
        <v>2889</v>
      </c>
      <c r="M8" s="12" t="n">
        <v>2250</v>
      </c>
      <c r="N8" s="12" t="n">
        <v>1799</v>
      </c>
      <c r="O8" s="12" t="n">
        <v>1905</v>
      </c>
      <c r="P8" s="12" t="n">
        <v>2178</v>
      </c>
    </row>
    <row r="9">
      <c r="B9" s="7" t="inlineStr">
        <is>
          <t>Variação do CPL</t>
        </is>
      </c>
      <c r="C9" s="8">
        <f>IFERROR(FORMULATEXT(G9),"")</f>
        <v/>
      </c>
      <c r="E9" s="15" t="n">
        <v>0</v>
      </c>
      <c r="F9" s="15">
        <f>IFERROR(F10/E10-1,0)</f>
        <v/>
      </c>
      <c r="G9" s="15">
        <f>IFERROR(G10/F10-1,0)</f>
        <v/>
      </c>
      <c r="H9" s="15">
        <f>IFERROR(H10/G10-1,0)</f>
        <v/>
      </c>
      <c r="I9" s="15">
        <f>IFERROR(I10/H10-1,0)</f>
        <v/>
      </c>
      <c r="J9" s="15">
        <f>IFERROR(J10/I10-1,0)</f>
        <v/>
      </c>
      <c r="K9" s="15">
        <f>IFERROR(K10/J10-1,0)</f>
        <v/>
      </c>
      <c r="L9" s="15">
        <f>IFERROR(L10/K10-1,0)</f>
        <v/>
      </c>
      <c r="M9" s="15">
        <f>IFERROR(M10/L10-1,0)</f>
        <v/>
      </c>
      <c r="N9" s="15">
        <f>IFERROR(N10/M10-1,0)</f>
        <v/>
      </c>
      <c r="O9" s="15">
        <f>IFERROR(O10/N10-1,0)</f>
        <v/>
      </c>
      <c r="P9" s="15">
        <f>IFERROR(P10/O10-1,0)</f>
        <v/>
      </c>
      <c r="Q9" s="15" t="n"/>
    </row>
    <row r="10">
      <c r="B10" s="7" t="inlineStr">
        <is>
          <t>Custo por Lead</t>
        </is>
      </c>
      <c r="E10" s="16" t="n">
        <v>82.93000000000001</v>
      </c>
      <c r="F10" s="17" t="n">
        <v>79.69</v>
      </c>
      <c r="G10" s="17" t="n">
        <v>78.56</v>
      </c>
      <c r="H10" s="17" t="n">
        <v>77.03</v>
      </c>
      <c r="I10" s="17" t="n">
        <v>73.94</v>
      </c>
      <c r="J10" s="17" t="n">
        <v>76.19</v>
      </c>
      <c r="K10" s="17" t="n">
        <v>77.38</v>
      </c>
      <c r="L10" s="17" t="n">
        <v>79.42</v>
      </c>
      <c r="M10" s="17" t="n">
        <v>82.98999999999999</v>
      </c>
      <c r="N10" s="17" t="n">
        <v>87.47</v>
      </c>
      <c r="O10" s="17" t="n">
        <v>86.17</v>
      </c>
      <c r="P10" s="17" t="n">
        <v>83.56</v>
      </c>
    </row>
    <row r="11">
      <c r="B11" s="7" t="inlineStr">
        <is>
          <t>Leads Gerados</t>
        </is>
      </c>
      <c r="C11" s="8">
        <f>IFERROR(FORMULATEXT(G11),"")</f>
        <v/>
      </c>
      <c r="E11" s="19">
        <f>ROUND(E8/E10,0)</f>
        <v/>
      </c>
      <c r="F11" s="19">
        <f>ROUND(F8/F10,0)</f>
        <v/>
      </c>
      <c r="G11" s="19">
        <f>ROUND(G8/G10,0)</f>
        <v/>
      </c>
      <c r="H11" s="19">
        <f>ROUND(H8/H10,0)</f>
        <v/>
      </c>
      <c r="I11" s="19">
        <f>ROUND(I8/I10,0)</f>
        <v/>
      </c>
      <c r="J11" s="19">
        <f>ROUND(J8/J10,0)</f>
        <v/>
      </c>
      <c r="K11" s="19">
        <f>ROUND(K8/K10,0)</f>
        <v/>
      </c>
      <c r="L11" s="19">
        <f>ROUND(L8/L10,0)</f>
        <v/>
      </c>
      <c r="M11" s="19">
        <f>ROUND(M8/M10,0)</f>
        <v/>
      </c>
      <c r="N11" s="19">
        <f>ROUND(N8/N10,0)</f>
        <v/>
      </c>
      <c r="O11" s="19">
        <f>ROUND(O8/O10,0)</f>
        <v/>
      </c>
      <c r="P11" s="19">
        <f>ROUND(P8/P10,0)</f>
        <v/>
      </c>
      <c r="R11" s="21" t="n"/>
      <c r="S11" s="21" t="n"/>
      <c r="T11" s="21" t="n"/>
    </row>
    <row r="12">
      <c r="P12" s="21" t="n"/>
      <c r="Q12" s="40" t="n"/>
      <c r="S12" s="40" t="n"/>
      <c r="T12" s="40" t="n"/>
    </row>
    <row r="13">
      <c r="B13" s="6" t="inlineStr">
        <is>
          <t>PREMISSAS DE PRÉ-VENDA</t>
        </is>
      </c>
      <c r="P13" s="21" t="n"/>
      <c r="Q13" s="21" t="n"/>
      <c r="S13" s="21" t="n"/>
      <c r="T13" s="21" t="n"/>
    </row>
    <row r="14">
      <c r="P14" s="21" t="n"/>
      <c r="R14" s="21" t="n"/>
      <c r="T14" s="21" t="n"/>
    </row>
    <row r="15">
      <c r="B15" s="7" t="inlineStr">
        <is>
          <t>Leads (WhatsApp / Site / Instagram)</t>
        </is>
      </c>
      <c r="C15" s="8">
        <f>IFERROR(FORMULATEXT(G15),"")</f>
        <v/>
      </c>
      <c r="E15" s="19">
        <f>E11</f>
        <v/>
      </c>
      <c r="F15" s="19">
        <f>F11</f>
        <v/>
      </c>
      <c r="G15" s="19">
        <f>G11</f>
        <v/>
      </c>
      <c r="H15" s="19">
        <f>H11</f>
        <v/>
      </c>
      <c r="I15" s="19">
        <f>I11</f>
        <v/>
      </c>
      <c r="J15" s="19">
        <f>J11</f>
        <v/>
      </c>
      <c r="K15" s="19">
        <f>K11</f>
        <v/>
      </c>
      <c r="L15" s="19">
        <f>L11</f>
        <v/>
      </c>
      <c r="M15" s="19">
        <f>M11</f>
        <v/>
      </c>
      <c r="N15" s="19">
        <f>N11</f>
        <v/>
      </c>
      <c r="O15" s="19">
        <f>O11</f>
        <v/>
      </c>
      <c r="P15" s="19">
        <f>P11</f>
        <v/>
      </c>
      <c r="R15" s="21" t="n"/>
      <c r="T15" s="21" t="n"/>
    </row>
    <row r="16">
      <c r="B16" s="7" t="inlineStr">
        <is>
          <t>Leads &gt; MQL</t>
        </is>
      </c>
      <c r="C16" s="8">
        <f>IFERROR(FORMULATEXT(G16),"")</f>
        <v/>
      </c>
      <c r="E16" s="22" t="n">
        <v>0.75</v>
      </c>
      <c r="F16" s="22" t="n">
        <v>0.75</v>
      </c>
      <c r="G16" s="22" t="n">
        <v>0.75</v>
      </c>
      <c r="H16" s="22" t="n">
        <v>0.75</v>
      </c>
      <c r="I16" s="22" t="n">
        <v>0.75</v>
      </c>
      <c r="J16" s="22" t="n">
        <v>0.75</v>
      </c>
      <c r="K16" s="22" t="n">
        <v>0.75</v>
      </c>
      <c r="L16" s="22" t="n">
        <v>0.75</v>
      </c>
      <c r="M16" s="22" t="n">
        <v>0.75</v>
      </c>
      <c r="N16" s="22" t="n">
        <v>0.75</v>
      </c>
      <c r="O16" s="22" t="n">
        <v>0.75</v>
      </c>
      <c r="P16" s="22" t="n">
        <v>0.75</v>
      </c>
      <c r="Q16" s="21" t="n"/>
      <c r="R16" s="21" t="n"/>
      <c r="T16" s="21" t="n"/>
    </row>
    <row r="17">
      <c r="B17" s="7" t="inlineStr">
        <is>
          <t>MQL (Qualificados)</t>
        </is>
      </c>
      <c r="C17" s="8">
        <f>IFERROR(FORMULATEXT(G17),"")</f>
        <v/>
      </c>
      <c r="E17" s="49">
        <f>ROUND((E15*E16),0)</f>
        <v/>
      </c>
      <c r="F17" s="49">
        <f>ROUND((F15*F16),0)</f>
        <v/>
      </c>
      <c r="G17" s="49">
        <f>ROUND((G15*G16),0)</f>
        <v/>
      </c>
      <c r="H17" s="49">
        <f>ROUND((H15*H16),0)</f>
        <v/>
      </c>
      <c r="I17" s="49">
        <f>ROUND((I15*I16),0)</f>
        <v/>
      </c>
      <c r="J17" s="49">
        <f>ROUND((J15*J16),0)</f>
        <v/>
      </c>
      <c r="K17" s="49">
        <f>ROUND((K15*K16),0)</f>
        <v/>
      </c>
      <c r="L17" s="49">
        <f>ROUND((L15*L16),0)</f>
        <v/>
      </c>
      <c r="M17" s="49">
        <f>ROUND((M15*M16),0)</f>
        <v/>
      </c>
      <c r="N17" s="49">
        <f>ROUND((N15*N16),0)</f>
        <v/>
      </c>
      <c r="O17" s="49">
        <f>ROUND((O15*O16),0)</f>
        <v/>
      </c>
      <c r="P17" s="49">
        <f>ROUND((P15*P16),0)</f>
        <v/>
      </c>
      <c r="Q17" s="21" t="n"/>
      <c r="R17" s="21" t="n"/>
      <c r="T17" s="21" t="n"/>
    </row>
    <row r="18">
      <c r="B18" s="7" t="inlineStr">
        <is>
          <t>MQL &gt; SQL</t>
        </is>
      </c>
      <c r="C18" s="8">
        <f>IFERROR(FORMULATEXT(G18),"")</f>
        <v/>
      </c>
      <c r="E18" s="22" t="n">
        <v>0.35</v>
      </c>
      <c r="F18" s="22" t="n">
        <v>0.35</v>
      </c>
      <c r="G18" s="22" t="n">
        <v>0.35</v>
      </c>
      <c r="H18" s="22" t="n">
        <v>0.35</v>
      </c>
      <c r="I18" s="22" t="n">
        <v>0.35</v>
      </c>
      <c r="J18" s="22" t="n">
        <v>0.35</v>
      </c>
      <c r="K18" s="22" t="n">
        <v>0.35</v>
      </c>
      <c r="L18" s="22" t="n">
        <v>0.35</v>
      </c>
      <c r="M18" s="22" t="n">
        <v>0.35</v>
      </c>
      <c r="N18" s="22" t="n">
        <v>0.35</v>
      </c>
      <c r="O18" s="22" t="n">
        <v>0.35</v>
      </c>
      <c r="P18" s="22" t="n">
        <v>0.35</v>
      </c>
      <c r="Q18" s="21" t="n"/>
      <c r="R18" s="21" t="n"/>
      <c r="T18" s="21" t="n"/>
    </row>
    <row r="19">
      <c r="B19" s="7" t="inlineStr">
        <is>
          <t>SQL (Orçamento)</t>
        </is>
      </c>
      <c r="C19" s="8">
        <f>IFERROR(FORMULATEXT(G19),"")</f>
        <v/>
      </c>
      <c r="E19" s="49">
        <f>ROUND(E17*E18,0)</f>
        <v/>
      </c>
      <c r="F19" s="49">
        <f>ROUND(F17*F18,0)</f>
        <v/>
      </c>
      <c r="G19" s="49">
        <f>ROUND(G17*G18,0)</f>
        <v/>
      </c>
      <c r="H19" s="49">
        <f>ROUND(H17*H18,0)</f>
        <v/>
      </c>
      <c r="I19" s="49">
        <f>ROUND(I17*I18,0)</f>
        <v/>
      </c>
      <c r="J19" s="49">
        <f>ROUND(J17*J18,0)</f>
        <v/>
      </c>
      <c r="K19" s="49">
        <f>ROUND(K17*K18,0)</f>
        <v/>
      </c>
      <c r="L19" s="49">
        <f>ROUND(L17*L18,0)</f>
        <v/>
      </c>
      <c r="M19" s="49">
        <f>ROUND(M17*M18,0)</f>
        <v/>
      </c>
      <c r="N19" s="49">
        <f>ROUND(N17*N18,0)</f>
        <v/>
      </c>
      <c r="O19" s="49">
        <f>ROUND(O17*O18,0)</f>
        <v/>
      </c>
      <c r="P19" s="49">
        <f>ROUND(P17*P18,0)</f>
        <v/>
      </c>
      <c r="Q19" s="21" t="n"/>
      <c r="R19" s="21" t="n"/>
      <c r="T19" s="21" t="n"/>
    </row>
    <row r="20">
      <c r="E20" s="24">
        <f>IFERROR(E19/E15,0)</f>
        <v/>
      </c>
      <c r="P20" s="21" t="n"/>
      <c r="Q20" s="21" t="n"/>
      <c r="R20" s="21" t="n"/>
      <c r="T20" s="21" t="n"/>
    </row>
    <row r="21">
      <c r="B21" s="6" t="inlineStr">
        <is>
          <t>PREMISSAS DE VENDAS</t>
        </is>
      </c>
      <c r="P21" s="21" t="n"/>
      <c r="Q21" s="21" t="n"/>
      <c r="R21" s="21" t="n"/>
      <c r="T21" s="21" t="n"/>
    </row>
    <row r="23">
      <c r="B23" s="7" t="inlineStr">
        <is>
          <t>SQL</t>
        </is>
      </c>
      <c r="C23" s="8">
        <f>IFERROR(FORMULATEXT(G23),"")</f>
        <v/>
      </c>
      <c r="E23" s="49">
        <f>E19</f>
        <v/>
      </c>
      <c r="F23" s="49">
        <f>F19</f>
        <v/>
      </c>
      <c r="G23" s="49">
        <f>G19</f>
        <v/>
      </c>
      <c r="H23" s="49">
        <f>H19</f>
        <v/>
      </c>
      <c r="I23" s="49">
        <f>I19</f>
        <v/>
      </c>
      <c r="J23" s="49">
        <f>J19</f>
        <v/>
      </c>
      <c r="K23" s="49">
        <f>K19</f>
        <v/>
      </c>
      <c r="L23" s="49">
        <f>L19</f>
        <v/>
      </c>
      <c r="M23" s="49">
        <f>M19</f>
        <v/>
      </c>
      <c r="N23" s="49">
        <f>N19</f>
        <v/>
      </c>
      <c r="O23" s="49">
        <f>O19</f>
        <v/>
      </c>
      <c r="P23" s="49">
        <f>P19</f>
        <v/>
      </c>
    </row>
    <row r="24">
      <c r="B24" s="7" t="inlineStr">
        <is>
          <t>SQL &gt; Venda</t>
        </is>
      </c>
      <c r="C24" s="8">
        <f>IFERROR(FORMULATEXT(G24),"")</f>
        <v/>
      </c>
      <c r="E24" s="22" t="n">
        <v>0.25</v>
      </c>
      <c r="F24" s="22" t="n">
        <v>0.25</v>
      </c>
      <c r="G24" s="22" t="n">
        <v>0.25</v>
      </c>
      <c r="H24" s="22" t="n">
        <v>0.25</v>
      </c>
      <c r="I24" s="22" t="n">
        <v>0.25</v>
      </c>
      <c r="J24" s="22" t="n">
        <v>0.25</v>
      </c>
      <c r="K24" s="22" t="n">
        <v>0.25</v>
      </c>
      <c r="L24" s="22" t="n">
        <v>0.25</v>
      </c>
      <c r="M24" s="22" t="n">
        <v>0.25</v>
      </c>
      <c r="N24" s="22" t="n">
        <v>0.25</v>
      </c>
      <c r="O24" s="22" t="n">
        <v>0.25</v>
      </c>
      <c r="P24" s="22" t="n">
        <v>0.25</v>
      </c>
    </row>
    <row r="25">
      <c r="B25" s="7" t="inlineStr">
        <is>
          <t>Venda</t>
        </is>
      </c>
      <c r="C25" s="8">
        <f>IFERROR(FORMULATEXT(G25),"")</f>
        <v/>
      </c>
      <c r="E25" s="49">
        <f>ROUND(E23*E24,0)</f>
        <v/>
      </c>
      <c r="F25" s="49">
        <f>ROUND(F23*F24,0)</f>
        <v/>
      </c>
      <c r="G25" s="49">
        <f>ROUND(G23*G24,0)</f>
        <v/>
      </c>
      <c r="H25" s="49">
        <f>ROUND(H23*H24,0)</f>
        <v/>
      </c>
      <c r="I25" s="49">
        <f>ROUND(I23*I24,0)</f>
        <v/>
      </c>
      <c r="J25" s="49">
        <f>ROUND(J23*J24,0)</f>
        <v/>
      </c>
      <c r="K25" s="49">
        <f>ROUND(K23*K24,0)</f>
        <v/>
      </c>
      <c r="L25" s="49">
        <f>ROUND(L23*L24,0)</f>
        <v/>
      </c>
      <c r="M25" s="49">
        <f>ROUND(M23*M24,0)</f>
        <v/>
      </c>
      <c r="N25" s="49">
        <f>ROUND(N23*N24,0)</f>
        <v/>
      </c>
      <c r="O25" s="49">
        <f>ROUND(O23*O24,0)</f>
        <v/>
      </c>
      <c r="P25" s="49">
        <f>ROUND(P23*P24,0)</f>
        <v/>
      </c>
    </row>
    <row r="26">
      <c r="B26" s="7" t="inlineStr">
        <is>
          <t>Ticket Médio</t>
        </is>
      </c>
      <c r="C26" s="8">
        <f>IFERROR(FORMULATEXT(G26),"")</f>
        <v/>
      </c>
      <c r="E26" s="16">
        <f>Metas!D49</f>
        <v/>
      </c>
      <c r="F26" s="12">
        <f>E26</f>
        <v/>
      </c>
      <c r="G26" s="12">
        <f>F26</f>
        <v/>
      </c>
      <c r="H26" s="12">
        <f>G26</f>
        <v/>
      </c>
      <c r="I26" s="12">
        <f>H26</f>
        <v/>
      </c>
      <c r="J26" s="12">
        <f>I26</f>
        <v/>
      </c>
      <c r="K26" s="12">
        <f>J26</f>
        <v/>
      </c>
      <c r="L26" s="12">
        <f>K26</f>
        <v/>
      </c>
      <c r="M26" s="12">
        <f>L26</f>
        <v/>
      </c>
      <c r="N26" s="12">
        <f>M26</f>
        <v/>
      </c>
      <c r="O26" s="12">
        <f>N26</f>
        <v/>
      </c>
      <c r="P26" s="12">
        <f>O26</f>
        <v/>
      </c>
    </row>
    <row r="27">
      <c r="B27" s="7" t="inlineStr">
        <is>
          <t>Faturamento</t>
        </is>
      </c>
      <c r="C27" s="8">
        <f>IFERROR(FORMULATEXT(G27),"")</f>
        <v/>
      </c>
      <c r="E27" s="12">
        <f>E25*E26</f>
        <v/>
      </c>
      <c r="F27" s="12">
        <f>F25*F26</f>
        <v/>
      </c>
      <c r="G27" s="12">
        <f>G25*G26</f>
        <v/>
      </c>
      <c r="H27" s="12">
        <f>H25*H26</f>
        <v/>
      </c>
      <c r="I27" s="12">
        <f>I25*I26</f>
        <v/>
      </c>
      <c r="J27" s="12">
        <f>J25*J26</f>
        <v/>
      </c>
      <c r="K27" s="12">
        <f>K25*K26</f>
        <v/>
      </c>
      <c r="L27" s="12">
        <f>L25*L26</f>
        <v/>
      </c>
      <c r="M27" s="12">
        <f>M25*M26</f>
        <v/>
      </c>
      <c r="N27" s="12">
        <f>N25*N26</f>
        <v/>
      </c>
      <c r="O27" s="12">
        <f>O25*O26</f>
        <v/>
      </c>
      <c r="P27" s="12">
        <f>P25*P26</f>
        <v/>
      </c>
    </row>
    <row r="28">
      <c r="B28" s="7" t="inlineStr">
        <is>
          <t>LTV (meses)</t>
        </is>
      </c>
      <c r="C28" s="25" t="n">
        <v>23.2</v>
      </c>
      <c r="D28" s="0" t="inlineStr">
        <is>
          <t>Horizonte médio ponderado por receita: 23.2 meses, entre 12 meses (Comercial Geral, conservador) e 36 meses (B2B Industrial — JK relata só 2 empresas perdidas DESDE SEMPRE, muito acima do benchmark de mercado B2B de ~72,5% retenção/ano). Recalibrar quando ee-s3-crm-setup existir e houver churn real medido.</t>
        </is>
      </c>
      <c r="E28" s="51">
        <f>E27*$C$28</f>
        <v/>
      </c>
      <c r="F28" s="51">
        <f>F27*$C$28</f>
        <v/>
      </c>
      <c r="G28" s="51">
        <f>G27*$C$28</f>
        <v/>
      </c>
      <c r="H28" s="51">
        <f>H27*$C$28</f>
        <v/>
      </c>
      <c r="I28" s="51">
        <f>I27*$C$28</f>
        <v/>
      </c>
      <c r="J28" s="51">
        <f>J27*$C$28</f>
        <v/>
      </c>
      <c r="K28" s="51">
        <f>K27*$C$28</f>
        <v/>
      </c>
      <c r="L28" s="51">
        <f>L27*$C$28</f>
        <v/>
      </c>
      <c r="M28" s="51">
        <f>M27*$C$28</f>
        <v/>
      </c>
      <c r="N28" s="51">
        <f>N27*$C$28</f>
        <v/>
      </c>
      <c r="O28" s="51">
        <f>O27*$C$28</f>
        <v/>
      </c>
      <c r="P28" s="51">
        <f>P27*$C$28</f>
        <v/>
      </c>
    </row>
    <row r="30">
      <c r="B30" s="6" t="inlineStr">
        <is>
          <t>KPI</t>
        </is>
      </c>
      <c r="D30" s="28" t="n"/>
    </row>
    <row r="32">
      <c r="B32" s="7" t="inlineStr">
        <is>
          <t>ROAS</t>
        </is>
      </c>
      <c r="E32" s="29">
        <f>IFERROR(E27/E8,0)</f>
        <v/>
      </c>
      <c r="F32" s="29">
        <f>IFERROR(F27/F8,0)</f>
        <v/>
      </c>
      <c r="G32" s="29">
        <f>IFERROR(G27/G8,0)</f>
        <v/>
      </c>
      <c r="H32" s="29">
        <f>IFERROR(H27/H8,0)</f>
        <v/>
      </c>
      <c r="I32" s="29">
        <f>IFERROR(I27/I8,0)</f>
        <v/>
      </c>
      <c r="J32" s="29">
        <f>IFERROR(J27/J8,0)</f>
        <v/>
      </c>
      <c r="K32" s="29">
        <f>IFERROR(K27/K8,0)</f>
        <v/>
      </c>
      <c r="L32" s="29">
        <f>IFERROR(L27/L8,0)</f>
        <v/>
      </c>
      <c r="M32" s="29">
        <f>IFERROR(M27/M8,0)</f>
        <v/>
      </c>
      <c r="N32" s="29">
        <f>IFERROR(N27/N8,0)</f>
        <v/>
      </c>
      <c r="O32" s="29">
        <f>IFERROR(O27/O8,0)</f>
        <v/>
      </c>
      <c r="P32" s="29">
        <f>IFERROR(P27/P8,0)</f>
        <v/>
      </c>
    </row>
    <row r="33">
      <c r="B33" s="7" t="inlineStr">
        <is>
          <t>CPL (CAC)</t>
        </is>
      </c>
      <c r="C33" s="25" t="n">
        <v>0</v>
      </c>
      <c r="E33" s="12">
        <f>IFERROR(($C$33+E8)/E11,0)</f>
        <v/>
      </c>
      <c r="F33" s="12">
        <f>IFERROR(($C$33+F8)/F11,0)</f>
        <v/>
      </c>
      <c r="G33" s="12">
        <f>IFERROR(($C$33+G8)/G11,0)</f>
        <v/>
      </c>
      <c r="H33" s="12">
        <f>IFERROR(($C$33+H8)/H11,0)</f>
        <v/>
      </c>
      <c r="I33" s="12">
        <f>IFERROR(($C$33+I8)/I11,0)</f>
        <v/>
      </c>
      <c r="J33" s="12">
        <f>IFERROR(($C$33+J8)/J11,0)</f>
        <v/>
      </c>
      <c r="K33" s="12">
        <f>IFERROR(($C$33+K8)/K11,0)</f>
        <v/>
      </c>
      <c r="L33" s="12">
        <f>IFERROR(($C$33+L8)/L11,0)</f>
        <v/>
      </c>
      <c r="M33" s="12">
        <f>IFERROR(($C$33+M8)/M11,0)</f>
        <v/>
      </c>
      <c r="N33" s="12">
        <f>IFERROR(($C$33+N8)/N11,0)</f>
        <v/>
      </c>
      <c r="O33" s="12">
        <f>IFERROR(($C$33+O8)/O11,0)</f>
        <v/>
      </c>
      <c r="P33" s="12">
        <f>IFERROR(($C$33+P8)/P11,0)</f>
        <v/>
      </c>
    </row>
    <row r="34">
      <c r="B34" s="7" t="inlineStr">
        <is>
          <t>CPO</t>
        </is>
      </c>
      <c r="E34" s="12">
        <f>IFERROR(($C$33+E8)/E17,0)</f>
        <v/>
      </c>
      <c r="F34" s="12">
        <f>IFERROR(($C$33+F8)/F17,0)</f>
        <v/>
      </c>
      <c r="G34" s="12">
        <f>IFERROR(($C$33+G8)/G17,0)</f>
        <v/>
      </c>
      <c r="H34" s="12">
        <f>IFERROR(($C$33+H8)/H17,0)</f>
        <v/>
      </c>
      <c r="I34" s="12">
        <f>IFERROR(($C$33+I8)/I17,0)</f>
        <v/>
      </c>
      <c r="J34" s="12">
        <f>IFERROR(($C$33+J8)/J17,0)</f>
        <v/>
      </c>
      <c r="K34" s="12">
        <f>IFERROR(($C$33+K8)/K17,0)</f>
        <v/>
      </c>
      <c r="L34" s="12">
        <f>IFERROR(($C$33+L8)/L17,0)</f>
        <v/>
      </c>
      <c r="M34" s="12">
        <f>IFERROR(($C$33+M8)/M17,0)</f>
        <v/>
      </c>
      <c r="N34" s="12">
        <f>IFERROR(($C$33+N8)/N17,0)</f>
        <v/>
      </c>
      <c r="O34" s="12">
        <f>IFERROR(($C$33+O8)/O17,0)</f>
        <v/>
      </c>
      <c r="P34" s="12">
        <f>IFERROR(($C$33+P8)/P17,0)</f>
        <v/>
      </c>
    </row>
    <row r="35">
      <c r="B35" s="7" t="inlineStr">
        <is>
          <t>CPV</t>
        </is>
      </c>
      <c r="E35" s="12">
        <f>IFERROR(($C$33+E8)/E25,0)</f>
        <v/>
      </c>
      <c r="F35" s="12">
        <f>IFERROR(($C$33+F8)/F25,0)</f>
        <v/>
      </c>
      <c r="G35" s="12">
        <f>IFERROR(($C$33+G8)/G25,0)</f>
        <v/>
      </c>
      <c r="H35" s="12">
        <f>IFERROR(($C$33+H8)/H25,0)</f>
        <v/>
      </c>
      <c r="I35" s="12">
        <f>IFERROR(($C$33+I8)/I25,0)</f>
        <v/>
      </c>
      <c r="J35" s="12">
        <f>IFERROR(($C$33+J8)/J25,0)</f>
        <v/>
      </c>
      <c r="K35" s="12">
        <f>IFERROR(($C$33+K8)/K25,0)</f>
        <v/>
      </c>
      <c r="L35" s="12">
        <f>IFERROR(($C$33+L8)/L25,0)</f>
        <v/>
      </c>
      <c r="M35" s="12">
        <f>IFERROR(($C$33+M8)/M25,0)</f>
        <v/>
      </c>
      <c r="N35" s="12">
        <f>IFERROR(($C$33+N8)/N25,0)</f>
        <v/>
      </c>
      <c r="O35" s="12">
        <f>IFERROR(($C$33+O8)/O25,0)</f>
        <v/>
      </c>
      <c r="P35" s="12">
        <f>IFERROR(($C$33+P8)/P25,0)</f>
        <v/>
      </c>
    </row>
    <row r="38" hidden="1" s="52">
      <c r="B38" s="42" t="inlineStr">
        <is>
          <t>PREMISSAS DE MARKETING</t>
        </is>
      </c>
      <c r="D38" s="53" t="inlineStr">
        <is>
          <t>OBSERVAÇÕES</t>
        </is>
      </c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5" t="n"/>
    </row>
    <row r="39" hidden="1" s="52">
      <c r="B39" s="46" t="inlineStr">
        <is>
          <t>Controle investimento</t>
        </is>
      </c>
      <c r="C39" s="56" t="n"/>
      <c r="D39" s="48" t="inlineStr">
        <is>
          <t>Investimento 100% em Google Ads (Search) — nenhum orçamento alocado em Meta Ads neste cenário. Ver forecast-midia-paga-12-meses.md para a justificativa completa (ROAS-LTV de Meta ficou em 1,4x, abaixo do piso saudável de mercado de 1:3).</t>
        </is>
      </c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</row>
    <row r="40" hidden="1" s="52">
      <c r="B40" s="46" t="inlineStr">
        <is>
          <t>Investimento</t>
        </is>
      </c>
      <c r="C40" s="56" t="n"/>
      <c r="D40" s="48" t="inlineStr">
        <is>
          <t>Orçamento mensal recalculado em 10/07/2026 com a planilha de keywords nova (1.517 linhas, deduplicada por cluster de variantes). Sazonalidade ficou mais concentrada em dezembro (índice 218 vs 170 da versão anterior) — dezembro passa a ser 15,7% do orçamento anual. Piso de R$1.500/mês por segmento mantido, pico ainda em dez/26-jan/27.</t>
        </is>
      </c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</row>
    <row r="41" hidden="1" s="52">
      <c r="B41" s="46" t="inlineStr">
        <is>
          <t>Variação do CPL</t>
        </is>
      </c>
      <c r="C41" s="56" t="n"/>
      <c r="D41" s="48" t="inlineStr">
        <is>
          <t>CPL blend varia mês a mês conforme o mix de leads entre o segmento Comercial Geral (CPL R$55, mais barato, mais volume) e B2B Industrial (CPL R$140, benchmark Brasil 2026 de R$80-200/lead) — não é uma taxa de crescimento fixa, é resultado direto do mix sazonal dos dois segmentos.</t>
        </is>
      </c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</row>
    <row r="42" hidden="1" s="52">
      <c r="B42" s="46" t="inlineStr">
        <is>
          <t>Custo por Lead</t>
        </is>
      </c>
      <c r="C42" s="56" t="n"/>
      <c r="D42" s="48" t="inlineStr">
        <is>
          <t>CPL Comercial R$55 estimado a partir do CPC observado na planilha de keywords + CVR típico de página (~10%, benchmark WordStream 8,18% global). CPL B2B R$140 vem de benchmark de mercado (Google Ads Brasil, Indústria/Manufatura: CPL R$80-200).</t>
        </is>
      </c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</row>
    <row r="43" hidden="1" s="52">
      <c r="B43" s="46" t="inlineStr">
        <is>
          <t>Leads Gerados</t>
        </is>
      </c>
      <c r="C43" s="56" t="n"/>
      <c r="D43" s="48" t="inlineStr">
        <is>
          <t>CPL blend recalculado com mais dados reais de lance (14 de 1.517 keywords, era 3 de 535). Faixa de CPC ficou um pouco mais ampla no topo (até R$67,62 para termos de 'instalação' mais disputados) — CPL Comercial R$55 mantido como estimativa central, mas monitorar de perto assim que a campanha estiver no ar, já que 'instalação' é agora o maior cluster de demanda da planilha.</t>
        </is>
      </c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</row>
    <row r="44" hidden="1" s="52"/>
    <row r="45" hidden="1" s="52">
      <c r="B45" s="42" t="inlineStr">
        <is>
          <t>PREMISSAS DE PRÉ-VENDA</t>
        </is>
      </c>
      <c r="D45" s="53" t="inlineStr">
        <is>
          <t>OBSERVAÇÕES</t>
        </is>
      </c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  <c r="P45" s="55" t="n"/>
    </row>
    <row r="46" hidden="1" s="52">
      <c r="B46" s="46" t="inlineStr">
        <is>
          <t>Leads (No Kommo)</t>
        </is>
      </c>
      <c r="C46" s="56" t="n"/>
      <c r="D46" s="48" t="inlineStr">
        <is>
          <t>Leads que chegam por WhatsApp direto, Instagram ou formulário do site — JK não tem CRM/Kommo hoje (ver ee-s4-diagnostico-comercial). Recomendação: implementar CRM leve (ee-s3-crm-setup, pendente) para rastrear isso de verdade.</t>
        </is>
      </c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</row>
    <row r="47" hidden="1" s="52">
      <c r="B47" s="46" t="inlineStr">
        <is>
          <t>Leads &gt; MQL</t>
        </is>
      </c>
      <c r="C47" s="56" t="n"/>
      <c r="D47" s="48" t="inlineStr">
        <is>
          <t>Estimativa: 65% sem scoring formal (cenário hoje) a 75% com o scoring 1-5⭐ e os scripts de qualificação já entregues em ee-s4-diagnostico-comercial/ee-s5-scripts-sdr. Esta planilha usa o cenário MELHORADO (75%).</t>
        </is>
      </c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</row>
    <row r="48" hidden="1" s="52">
      <c r="B48" s="46" t="inlineStr">
        <is>
          <t>MQL (Cadastro no Moskit)</t>
        </is>
      </c>
      <c r="C48" s="56" t="n"/>
      <c r="D48" s="48" t="inlineStr">
        <is>
          <t>MQL = lead que passou pela qualificação básica (perfil, raio de atuação, tipo de serviço) segundo os scripts de ee-s5-scripts-sdr.</t>
        </is>
      </c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</row>
    <row r="49" hidden="1" s="52">
      <c r="B49" s="46" t="inlineStr">
        <is>
          <t>MQL &gt; SQL</t>
        </is>
      </c>
      <c r="C49" s="56" t="n"/>
      <c r="D49" s="48" t="inlineStr">
        <is>
          <t>Benchmark RD Station Panorama Marketing e Vendas 2026: MQL→SQL &lt;15% fraco, 15-25% médio (situação da JK hoje, sem SLA formal), 35-50% em B2B com SLA marketing-vendas formalizado. Usamos 35% (piso da faixa 'com SLA'), pressupondo que o scoring/cadência de ee-s5-scripts-sdr está em uso.</t>
        </is>
      </c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</row>
    <row r="50" hidden="1" s="52">
      <c r="B50" s="46" t="inlineStr">
        <is>
          <t>SQL (Orçamento)</t>
        </is>
      </c>
      <c r="C50" s="56" t="n"/>
      <c r="D50" s="48" t="inlineStr">
        <is>
          <t>SQL = lead que recebeu orçamento formal e está em negociação ativa.</t>
        </is>
      </c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</row>
    <row r="51" hidden="1" s="52"/>
    <row r="52" hidden="1" s="52">
      <c r="B52" s="42" t="inlineStr">
        <is>
          <t>PREMISSAS DE VENDAS</t>
        </is>
      </c>
      <c r="D52" s="53" t="inlineStr">
        <is>
          <t>OBSERVAÇÕES</t>
        </is>
      </c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5" t="n"/>
    </row>
    <row r="53" hidden="1" s="52">
      <c r="B53" s="46" t="inlineStr">
        <is>
          <t>SQL &gt; Venda</t>
        </is>
      </c>
      <c r="C53" s="56" t="n"/>
      <c r="D53" s="48" t="inlineStr">
        <is>
          <t>20% é a mediana discutida na própria reunião de venda da V4 com o André (08/05/2026): 'a cada 5 propostas, 1 converte'. Faixa discutida na época: 5-30%. Dado real da conta, não benchmark externo.</t>
        </is>
      </c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</row>
    <row r="54" hidden="1" s="52">
      <c r="B54" s="46" t="inlineStr">
        <is>
          <t>Venda</t>
        </is>
      </c>
      <c r="C54" s="56" t="n"/>
      <c r="D54" s="48" t="inlineStr">
        <is>
          <t>Número de vendas = SQL × taxa de conversão de 20%.</t>
        </is>
      </c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</row>
    <row r="55" hidden="1" s="52">
      <c r="B55" s="46" t="inlineStr">
        <is>
          <t>Ticket Médio</t>
        </is>
      </c>
      <c r="C55" s="56" t="n"/>
      <c r="D55" s="48" t="inlineStr">
        <is>
          <t>Ticket médio BLEND entre B2B Industrial (R$714, projeção discutida com André focando CNPJ) e Comercial Geral (R$320, ticket real confirmado por André com margem de 23%) — ver tabela de segmentação em Metas!C42:F49.</t>
        </is>
      </c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</row>
  </sheetData>
  <mergeCells count="37">
    <mergeCell ref="B47:C47"/>
    <mergeCell ref="B54:C54"/>
    <mergeCell ref="B1:D1"/>
    <mergeCell ref="B46:C46"/>
    <mergeCell ref="D39:P39"/>
    <mergeCell ref="D55:P55"/>
    <mergeCell ref="B43:C43"/>
    <mergeCell ref="D42:P42"/>
    <mergeCell ref="D38:P38"/>
    <mergeCell ref="B39:C39"/>
    <mergeCell ref="B52:C52"/>
    <mergeCell ref="B21:C21"/>
    <mergeCell ref="B48:C48"/>
    <mergeCell ref="D54:P54"/>
    <mergeCell ref="B42:C42"/>
    <mergeCell ref="D50:P50"/>
    <mergeCell ref="B53:C53"/>
    <mergeCell ref="B13:C13"/>
    <mergeCell ref="B38:C38"/>
    <mergeCell ref="D46:P46"/>
    <mergeCell ref="D40:P40"/>
    <mergeCell ref="D45:P45"/>
    <mergeCell ref="D52:P52"/>
    <mergeCell ref="B40:C40"/>
    <mergeCell ref="B49:C49"/>
    <mergeCell ref="D49:P49"/>
    <mergeCell ref="B55:C55"/>
    <mergeCell ref="B30:C30"/>
    <mergeCell ref="D41:P41"/>
    <mergeCell ref="B5:C5"/>
    <mergeCell ref="B45:C45"/>
    <mergeCell ref="D48:P48"/>
    <mergeCell ref="B50:C50"/>
    <mergeCell ref="D53:P53"/>
    <mergeCell ref="B41:C41"/>
    <mergeCell ref="D47:P47"/>
    <mergeCell ref="D43:P4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2026-07-10T02:38:22Z</dcterms:created>
  <dcterms:modified xmlns:dcterms="http://purl.org/dc/terms/" xmlns:xsi="http://www.w3.org/2001/XMLSchema-instance" xsi:type="dcterms:W3CDTF">2026-07-10T10:19:47Z</dcterms:modified>
</cp:coreProperties>
</file>